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VN\UMR\data\czech\"/>
    </mc:Choice>
  </mc:AlternateContent>
  <xr:revisionPtr revIDLastSave="0" documentId="13_ncr:1_{B5E56BA4-9FCA-4831-8616-4B77246B25C8}" xr6:coauthVersionLast="47" xr6:coauthVersionMax="47" xr10:uidLastSave="{00000000-0000-0000-0000-000000000000}"/>
  <bookViews>
    <workbookView xWindow="2055" yWindow="2175" windowWidth="25530" windowHeight="11280" activeTab="1" xr2:uid="{00000000-000D-0000-FFFF-FFFF00000000}"/>
  </bookViews>
  <sheets>
    <sheet name="2.1-May-2025" sheetId="1" r:id="rId1"/>
    <sheet name="2.2-Feb-2026" sheetId="2" r:id="rId2"/>
    <sheet name="2.2-sema-orange-conv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I32" i="2" l="1"/>
  <c r="J32" i="2"/>
  <c r="H32" i="2"/>
  <c r="G32" i="2"/>
  <c r="D32" i="2"/>
  <c r="D31" i="2"/>
  <c r="S45" i="1" l="1"/>
  <c r="J26" i="1"/>
  <c r="J24" i="1"/>
  <c r="K24" i="1"/>
  <c r="M31" i="1" l="1"/>
  <c r="T47" i="1" l="1"/>
  <c r="S47" i="1"/>
  <c r="T45" i="1"/>
  <c r="E56" i="1"/>
  <c r="E62" i="1"/>
  <c r="O47" i="1"/>
  <c r="O45" i="1"/>
  <c r="I50" i="1"/>
  <c r="I53" i="1"/>
  <c r="I52" i="1"/>
  <c r="I51" i="1"/>
  <c r="R45" i="1" l="1"/>
  <c r="U45" i="1" s="1"/>
  <c r="R47" i="1"/>
  <c r="U47" i="1" s="1"/>
  <c r="W47" i="1"/>
  <c r="S49" i="1"/>
  <c r="W45" i="1"/>
  <c r="O49" i="1"/>
  <c r="T49" i="1"/>
  <c r="K50" i="1"/>
  <c r="AC34" i="1"/>
  <c r="V45" i="1" l="1"/>
  <c r="X45" i="1"/>
  <c r="W49" i="1"/>
  <c r="V47" i="1"/>
  <c r="X47" i="1"/>
  <c r="R49" i="1"/>
  <c r="I47" i="1"/>
  <c r="I46" i="1"/>
  <c r="I45" i="1"/>
  <c r="I44" i="1"/>
  <c r="X49" i="1" l="1"/>
  <c r="P47" i="1"/>
  <c r="Q47" i="1" s="1"/>
  <c r="V49" i="1"/>
  <c r="U49" i="1"/>
  <c r="P45" i="1"/>
  <c r="K44" i="1"/>
  <c r="N28" i="1"/>
  <c r="O28" i="1" s="1"/>
  <c r="P49" i="1" l="1"/>
  <c r="Q49" i="1" s="1"/>
  <c r="P26" i="1"/>
  <c r="P24" i="1"/>
  <c r="N26" i="1"/>
  <c r="O26" i="1" s="1"/>
  <c r="N24" i="1"/>
  <c r="O24" i="1" s="1"/>
  <c r="J28" i="1"/>
  <c r="J31" i="1" s="1"/>
  <c r="G31" i="1"/>
  <c r="F31" i="1"/>
  <c r="C31" i="1"/>
  <c r="AC39" i="1"/>
  <c r="AC38" i="1"/>
  <c r="AC37" i="1"/>
  <c r="AC36" i="1"/>
  <c r="AC35" i="1"/>
  <c r="P31" i="1" l="1"/>
  <c r="N31" i="1"/>
  <c r="O31" i="1" s="1"/>
  <c r="K28" i="1"/>
  <c r="L28" i="1" s="1"/>
  <c r="K26" i="1"/>
  <c r="L26" i="1" s="1"/>
  <c r="L24" i="1"/>
  <c r="D31" i="1"/>
  <c r="K31" i="1" l="1"/>
  <c r="L3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XX</author>
  </authors>
  <commentList>
    <comment ref="D2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XX:</t>
        </r>
        <r>
          <rPr>
            <sz val="9"/>
            <color indexed="81"/>
            <rFont val="Tahoma"/>
            <family val="2"/>
          </rPr>
          <t xml:space="preserve">
=AB11</t>
        </r>
      </text>
    </comment>
    <comment ref="D2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XX:</t>
        </r>
        <r>
          <rPr>
            <sz val="9"/>
            <color indexed="81"/>
            <rFont val="Tahoma"/>
            <family val="2"/>
          </rPr>
          <t xml:space="preserve">
=AB12</t>
        </r>
      </text>
    </comment>
    <comment ref="D2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XX:
=AB13</t>
        </r>
      </text>
    </comment>
    <comment ref="D27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XX:</t>
        </r>
        <r>
          <rPr>
            <sz val="9"/>
            <color indexed="81"/>
            <rFont val="Tahoma"/>
            <family val="2"/>
          </rPr>
          <t xml:space="preserve">
=AB14</t>
        </r>
      </text>
    </comment>
    <comment ref="D28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XX:</t>
        </r>
        <r>
          <rPr>
            <sz val="9"/>
            <color indexed="81"/>
            <rFont val="Tahoma"/>
            <family val="2"/>
          </rPr>
          <t xml:space="preserve">
=AB15</t>
        </r>
      </text>
    </comment>
    <comment ref="D30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XX:</t>
        </r>
        <r>
          <rPr>
            <sz val="9"/>
            <color indexed="81"/>
            <rFont val="Tahoma"/>
            <family val="2"/>
          </rPr>
          <t xml:space="preserve">
=AB16</t>
        </r>
      </text>
    </comment>
  </commentList>
</comments>
</file>

<file path=xl/sharedStrings.xml><?xml version="1.0" encoding="utf-8"?>
<sst xmlns="http://schemas.openxmlformats.org/spreadsheetml/2006/main" count="648" uniqueCount="357">
  <si>
    <t>ln94210_111</t>
  </si>
  <si>
    <t>sentences</t>
  </si>
  <si>
    <t>PDT nodes</t>
  </si>
  <si>
    <t>UMR man</t>
  </si>
  <si>
    <t>UMR auto</t>
  </si>
  <si>
    <t>pdtsc_093_3.02</t>
  </si>
  <si>
    <t>ln95046_093</t>
  </si>
  <si>
    <t>tokens</t>
  </si>
  <si>
    <t>pdtsc_146_2.05</t>
  </si>
  <si>
    <t>suma</t>
  </si>
  <si>
    <t>wsj0013.cz</t>
  </si>
  <si>
    <t>wsj0072.cz</t>
  </si>
  <si>
    <t>PDT</t>
  </si>
  <si>
    <t>PDTSC</t>
  </si>
  <si>
    <t>PCEDT</t>
  </si>
  <si>
    <t>total</t>
  </si>
  <si>
    <t>parallel - tokens</t>
  </si>
  <si>
    <t>parallel-PDT-nodes</t>
  </si>
  <si>
    <t>UMR A1</t>
  </si>
  <si>
    <t>UMR A2</t>
  </si>
  <si>
    <t>parallel-ML-nodes</t>
  </si>
  <si>
    <t>parallel-HH-nodes</t>
  </si>
  <si>
    <t>t per s</t>
  </si>
  <si>
    <t>UMR / PDT</t>
  </si>
  <si>
    <t>UMR1 per PDT</t>
  </si>
  <si>
    <t>UMR2 per PDT</t>
  </si>
  <si>
    <t>UMR</t>
  </si>
  <si>
    <t>UMR per PDT</t>
  </si>
  <si>
    <t>nodes</t>
  </si>
  <si>
    <t>PDT*</t>
  </si>
  <si>
    <t>*roots not counted</t>
  </si>
  <si>
    <t>ln94205_73</t>
  </si>
  <si>
    <t>HH</t>
  </si>
  <si>
    <t>ln94211_89</t>
  </si>
  <si>
    <t>ML</t>
  </si>
  <si>
    <t>wsj2350.cz</t>
  </si>
  <si>
    <t>cs-0000.umr</t>
  </si>
  <si>
    <t>TOTAL</t>
  </si>
  <si>
    <t>Czech manually annotated data</t>
  </si>
  <si>
    <t>UMR 2.1 … http://hdl.handle.net/11234/1-5951</t>
  </si>
  <si>
    <t>events denoted by verbs</t>
  </si>
  <si>
    <t>aspect</t>
  </si>
  <si>
    <t>modal strength</t>
  </si>
  <si>
    <t>events denoted by nouns</t>
  </si>
  <si>
    <t xml:space="preserve">partially converted to verb concepts </t>
  </si>
  <si>
    <t>sentence-level</t>
  </si>
  <si>
    <t>document-level</t>
  </si>
  <si>
    <t>only coreference</t>
  </si>
  <si>
    <t>entities</t>
  </si>
  <si>
    <t>number</t>
  </si>
  <si>
    <t>main annot</t>
  </si>
  <si>
    <t>comment:</t>
  </si>
  <si>
    <t>UMR 2.2 … http://hdl.handle.net/11234/1-6132</t>
  </si>
  <si>
    <t>NO wikidata</t>
  </si>
  <si>
    <t>conv - lemma substitutes resolved</t>
  </si>
  <si>
    <t>PUD data</t>
  </si>
  <si>
    <t>PUD</t>
  </si>
  <si>
    <t>Stage 0 annotation</t>
  </si>
  <si>
    <t>abstract predicates, rolesets</t>
  </si>
  <si>
    <t>OK with ARGs</t>
  </si>
  <si>
    <t>nothing</t>
  </si>
  <si>
    <t>anchoring</t>
  </si>
  <si>
    <t>NE</t>
  </si>
  <si>
    <t>non-NE</t>
  </si>
  <si>
    <t>person for pronouns</t>
  </si>
  <si>
    <t>(cs-0000.umr)</t>
  </si>
  <si>
    <t xml:space="preserve"> --</t>
  </si>
  <si>
    <t xml:space="preserve">wiki … OK for all nodes with :name attribute </t>
  </si>
  <si>
    <t xml:space="preserve">wikidata for all nodes with :name attribute </t>
  </si>
  <si>
    <t xml:space="preserve">occasionally wikidata for nodes with :name attribute </t>
  </si>
  <si>
    <t>occasionally wikidata</t>
  </si>
  <si>
    <t>sentence-level:</t>
  </si>
  <si>
    <t>document-level:</t>
  </si>
  <si>
    <t xml:space="preserve">argument structure converted from PDT_Vallex, ARGs </t>
  </si>
  <si>
    <t xml:space="preserve">změna FPHR </t>
  </si>
  <si>
    <t>aspectual verbs</t>
  </si>
  <si>
    <t>OK for prototypical ones (with infinitive verb)</t>
  </si>
  <si>
    <t>temporal … first attempt in ln94211_89</t>
  </si>
  <si>
    <t>OK for prototypical ones (with infinitive verb) - merged with lex. verb</t>
  </si>
  <si>
    <t>pdtsc_038_1.00-1-25</t>
  </si>
  <si>
    <t>PDT … dtest</t>
  </si>
  <si>
    <t>PDT … etest</t>
  </si>
  <si>
    <t>cs-0002.umr</t>
  </si>
  <si>
    <t>cs-0001.umr</t>
  </si>
  <si>
    <t>cs-0003.umr</t>
  </si>
  <si>
    <t>cs-0004.umr</t>
  </si>
  <si>
    <t>non-PUD</t>
  </si>
  <si>
    <t>nodes
UMR man</t>
  </si>
  <si>
    <t>nodes
PDT conv</t>
  </si>
  <si>
    <t>nodes
SEMA</t>
  </si>
  <si>
    <t>nodes
ORNG</t>
  </si>
  <si>
    <t>ORANGE</t>
  </si>
  <si>
    <t>SEMA</t>
  </si>
  <si>
    <t>CONV</t>
  </si>
  <si>
    <t>proportion of mapped nodes</t>
  </si>
  <si>
    <t>recall</t>
  </si>
  <si>
    <t>precision</t>
  </si>
  <si>
    <t>F1</t>
  </si>
  <si>
    <t>tokens aligned to a node (%)</t>
  </si>
  <si>
    <t>concept and relation on mapped nodes</t>
  </si>
  <si>
    <t>concept and relation (unmapped nodes counted as incorrect)</t>
  </si>
  <si>
    <r>
      <t>ORANGE aligned</t>
    </r>
    <r>
      <rPr>
        <sz val="11"/>
        <rFont val="Calibri"/>
        <family val="2"/>
        <scheme val="minor"/>
      </rPr>
      <t xml:space="preserve"> (ML)</t>
    </r>
  </si>
  <si>
    <r>
      <t>SEMA aligned</t>
    </r>
    <r>
      <rPr>
        <sz val="11"/>
        <color theme="1"/>
        <rFont val="Calibri"/>
        <family val="2"/>
        <scheme val="minor"/>
      </rPr>
      <t xml:space="preserve"> (ML)</t>
    </r>
  </si>
  <si>
    <t>91.21</t>
  </si>
  <si>
    <t>83.12</t>
  </si>
  <si>
    <t>86.98</t>
  </si>
  <si>
    <t>79.14</t>
  </si>
  <si>
    <t>88.53</t>
  </si>
  <si>
    <t>83.57</t>
  </si>
  <si>
    <t>62.85</t>
  </si>
  <si>
    <t>72.27</t>
  </si>
  <si>
    <t>67.23</t>
  </si>
  <si>
    <t>49.62</t>
  </si>
  <si>
    <t>65.95</t>
  </si>
  <si>
    <t>44.42</t>
  </si>
  <si>
    <t>64.93</t>
  </si>
  <si>
    <t>52.75</t>
  </si>
  <si>
    <t>52.16</t>
  </si>
  <si>
    <t>56.31</t>
  </si>
  <si>
    <t>54.15</t>
  </si>
  <si>
    <t>48.62</t>
  </si>
  <si>
    <t>51.99</t>
  </si>
  <si>
    <t>50.25</t>
  </si>
  <si>
    <t>24.70</t>
  </si>
  <si>
    <t>27.77</t>
  </si>
  <si>
    <t>26.15</t>
  </si>
  <si>
    <t>37.53</t>
  </si>
  <si>
    <t>74.88</t>
  </si>
  <si>
    <t>42.45</t>
  </si>
  <si>
    <t>49.06</t>
  </si>
  <si>
    <t>45.52</t>
  </si>
  <si>
    <t>56.97</t>
  </si>
  <si>
    <t>65.38</t>
  </si>
  <si>
    <t>60.89</t>
  </si>
  <si>
    <t>17.42</t>
  </si>
  <si>
    <t>25.35</t>
  </si>
  <si>
    <t>20.65</t>
  </si>
  <si>
    <t>50.00</t>
  </si>
  <si>
    <t>93.75</t>
  </si>
  <si>
    <t>89.36</t>
  </si>
  <si>
    <t>91.50</t>
  </si>
  <si>
    <t>67.55</t>
  </si>
  <si>
    <t>82.67</t>
  </si>
  <si>
    <t>74.35</t>
  </si>
  <si>
    <t>58.31</t>
  </si>
  <si>
    <t>72.35</t>
  </si>
  <si>
    <t>64.58</t>
  </si>
  <si>
    <t>39.29</t>
  </si>
  <si>
    <t>64.89</t>
  </si>
  <si>
    <t>48.95</t>
  </si>
  <si>
    <t>56.63</t>
  </si>
  <si>
    <t>33.48</t>
  </si>
  <si>
    <t>48.39</t>
  </si>
  <si>
    <t>39.58</t>
  </si>
  <si>
    <t>56.34</t>
  </si>
  <si>
    <t>67.02</t>
  </si>
  <si>
    <t>61.22</t>
  </si>
  <si>
    <t>50.36</t>
  </si>
  <si>
    <t>55.61</t>
  </si>
  <si>
    <t>52.85</t>
  </si>
  <si>
    <t>27.72</t>
  </si>
  <si>
    <t>36.94</t>
  </si>
  <si>
    <t>31.67</t>
  </si>
  <si>
    <t>27.68</t>
  </si>
  <si>
    <t>68.13</t>
  </si>
  <si>
    <t>39.37</t>
  </si>
  <si>
    <t>33.33</t>
  </si>
  <si>
    <t>41.39</t>
  </si>
  <si>
    <t>36.93</t>
  </si>
  <si>
    <t>61.11</t>
  </si>
  <si>
    <t>70.32</t>
  </si>
  <si>
    <t>65.39</t>
  </si>
  <si>
    <t>21.48</t>
  </si>
  <si>
    <t>12.13</t>
  </si>
  <si>
    <t>85.00</t>
  </si>
  <si>
    <t>74.87</t>
  </si>
  <si>
    <t>79.61</t>
  </si>
  <si>
    <t>75.16</t>
  </si>
  <si>
    <t>86.67</t>
  </si>
  <si>
    <t>80.50</t>
  </si>
  <si>
    <t>50.58</t>
  </si>
  <si>
    <t>59.45</t>
  </si>
  <si>
    <t>54.66</t>
  </si>
  <si>
    <t>39.14</t>
  </si>
  <si>
    <t>53.32</t>
  </si>
  <si>
    <t>45.15</t>
  </si>
  <si>
    <t>cs-0004.umr … wsjj2350.cz</t>
  </si>
  <si>
    <t>cs-0003.umr … pdtsc_038_1.00-1-25</t>
  </si>
  <si>
    <t>cs-0002.umr … ln94211_89</t>
  </si>
  <si>
    <t>cs-0001.umr … ln94205_73</t>
  </si>
  <si>
    <t>39.12</t>
  </si>
  <si>
    <t>64.56</t>
  </si>
  <si>
    <t>48.72</t>
  </si>
  <si>
    <t>46.68</t>
  </si>
  <si>
    <t>57.22</t>
  </si>
  <si>
    <t>51.42</t>
  </si>
  <si>
    <t>47.08</t>
  </si>
  <si>
    <t>53.31</t>
  </si>
  <si>
    <t>29.20</t>
  </si>
  <si>
    <t>22.04</t>
  </si>
  <si>
    <t>25.12</t>
  </si>
  <si>
    <t>CONV-ORANGE</t>
  </si>
  <si>
    <t>27.35</t>
  </si>
  <si>
    <t>84.42</t>
  </si>
  <si>
    <t>65.49</t>
  </si>
  <si>
    <t>38.59</t>
  </si>
  <si>
    <t>34.90</t>
  </si>
  <si>
    <t>40.45</t>
  </si>
  <si>
    <t>37.47</t>
  </si>
  <si>
    <t>43.86</t>
  </si>
  <si>
    <t>50.43</t>
  </si>
  <si>
    <t>46.92</t>
  </si>
  <si>
    <t>16.68</t>
  </si>
  <si>
    <t>11.69</t>
  </si>
  <si>
    <t>13.75</t>
  </si>
  <si>
    <t>30.83</t>
  </si>
  <si>
    <t>83.80</t>
  </si>
  <si>
    <t>45.08</t>
  </si>
  <si>
    <t>39.75</t>
  </si>
  <si>
    <t>39.85</t>
  </si>
  <si>
    <t>80.31</t>
  </si>
  <si>
    <t>80.06</t>
  </si>
  <si>
    <t>80.18</t>
  </si>
  <si>
    <t>23.75</t>
  </si>
  <si>
    <t>24.88</t>
  </si>
  <si>
    <t>24.30</t>
  </si>
  <si>
    <t>29.36</t>
  </si>
  <si>
    <t>75.82</t>
  </si>
  <si>
    <t>42.33</t>
  </si>
  <si>
    <t>44.40</t>
  </si>
  <si>
    <t>45.05</t>
  </si>
  <si>
    <t>44.73</t>
  </si>
  <si>
    <t>81.95</t>
  </si>
  <si>
    <t>83.17</t>
  </si>
  <si>
    <t>21.85</t>
  </si>
  <si>
    <t>23.43</t>
  </si>
  <si>
    <t>22.61</t>
  </si>
  <si>
    <t>38.74</t>
  </si>
  <si>
    <t>84.83</t>
  </si>
  <si>
    <t>53.19</t>
  </si>
  <si>
    <t>48.23</t>
  </si>
  <si>
    <t>47.44</t>
  </si>
  <si>
    <t>87.28</t>
  </si>
  <si>
    <t>85.62</t>
  </si>
  <si>
    <t>86.45</t>
  </si>
  <si>
    <t>31.79</t>
  </si>
  <si>
    <t>29.03</t>
  </si>
  <si>
    <t>30.35</t>
  </si>
  <si>
    <t>33.52</t>
  </si>
  <si>
    <t>85.92</t>
  </si>
  <si>
    <t>48.22</t>
  </si>
  <si>
    <t>43.83</t>
  </si>
  <si>
    <t>44.69</t>
  </si>
  <si>
    <t>44.25</t>
  </si>
  <si>
    <t>80.97</t>
  </si>
  <si>
    <t>83.58</t>
  </si>
  <si>
    <t>82.25</t>
  </si>
  <si>
    <t>25.18</t>
  </si>
  <si>
    <t>27.22</t>
  </si>
  <si>
    <t>26.16</t>
  </si>
  <si>
    <t>CONV-SEMA</t>
  </si>
  <si>
    <t>55.63</t>
  </si>
  <si>
    <t>43.01</t>
  </si>
  <si>
    <t>25.17</t>
  </si>
  <si>
    <t>31.87</t>
  </si>
  <si>
    <t>64.44</t>
  </si>
  <si>
    <t>42.65</t>
  </si>
  <si>
    <t>43.58</t>
  </si>
  <si>
    <t>36.51</t>
  </si>
  <si>
    <t>39.74</t>
  </si>
  <si>
    <t>42.07</t>
  </si>
  <si>
    <t>39.79</t>
  </si>
  <si>
    <t>40.90</t>
  </si>
  <si>
    <t>20.14</t>
  </si>
  <si>
    <t>14.98</t>
  </si>
  <si>
    <t>17.18</t>
  </si>
  <si>
    <t>43.51</t>
  </si>
  <si>
    <t>69.79</t>
  </si>
  <si>
    <t>53.60</t>
  </si>
  <si>
    <t>55.94</t>
  </si>
  <si>
    <t>53.98</t>
  </si>
  <si>
    <t>54.94</t>
  </si>
  <si>
    <t>50.84</t>
  </si>
  <si>
    <t>47.24</t>
  </si>
  <si>
    <t>48.97</t>
  </si>
  <si>
    <t>28.24</t>
  </si>
  <si>
    <t>23.89</t>
  </si>
  <si>
    <t>25.89</t>
  </si>
  <si>
    <t>34.47</t>
  </si>
  <si>
    <t>52.26</t>
  </si>
  <si>
    <t>41.54</t>
  </si>
  <si>
    <t>54.51</t>
  </si>
  <si>
    <t>52.98</t>
  </si>
  <si>
    <t>53.74</t>
  </si>
  <si>
    <t>42.51</t>
  </si>
  <si>
    <t>38.54</t>
  </si>
  <si>
    <t>40.43</t>
  </si>
  <si>
    <t>24.71</t>
  </si>
  <si>
    <t>19.94</t>
  </si>
  <si>
    <t>22.07</t>
  </si>
  <si>
    <t>38.34</t>
  </si>
  <si>
    <t>71.84</t>
  </si>
  <si>
    <t>50.37</t>
  </si>
  <si>
    <t>53.54</t>
  </si>
  <si>
    <t>51.91</t>
  </si>
  <si>
    <t>56.99</t>
  </si>
  <si>
    <t>55.21</t>
  </si>
  <si>
    <t>56.08</t>
  </si>
  <si>
    <t>28.94</t>
  </si>
  <si>
    <t>28.14</t>
  </si>
  <si>
    <t>28.53</t>
  </si>
  <si>
    <t>number of nodes</t>
  </si>
  <si>
    <t>85.63</t>
  </si>
  <si>
    <t>76.92</t>
  </si>
  <si>
    <t>81.04</t>
  </si>
  <si>
    <t>79.50</t>
  </si>
  <si>
    <t>84.50</t>
  </si>
  <si>
    <t>81.92</t>
  </si>
  <si>
    <t>58.19</t>
  </si>
  <si>
    <t>65.32</t>
  </si>
  <si>
    <t>61.55</t>
  </si>
  <si>
    <t>48.19</t>
  </si>
  <si>
    <t>58.92</t>
  </si>
  <si>
    <t>53.02</t>
  </si>
  <si>
    <r>
      <t xml:space="preserve">CONV aligned </t>
    </r>
    <r>
      <rPr>
        <sz val="11"/>
        <color theme="0" tint="-0.34998626667073579"/>
        <rFont val="Calibri"/>
        <family val="2"/>
        <scheme val="minor"/>
      </rPr>
      <t>(ML)</t>
    </r>
  </si>
  <si>
    <t>(alignment of just 3 nodes corrected)</t>
  </si>
  <si>
    <r>
      <t>ORANGE aligned</t>
    </r>
    <r>
      <rPr>
        <sz val="11"/>
        <rFont val="Calibri"/>
        <family val="2"/>
        <scheme val="minor"/>
      </rPr>
      <t xml:space="preserve"> (HH)</t>
    </r>
  </si>
  <si>
    <r>
      <t>SEMA aligned</t>
    </r>
    <r>
      <rPr>
        <sz val="11"/>
        <color theme="1"/>
        <rFont val="Calibri"/>
        <family val="2"/>
        <scheme val="minor"/>
      </rPr>
      <t xml:space="preserve"> (HH)</t>
    </r>
  </si>
  <si>
    <r>
      <t xml:space="preserve">CONV aligned </t>
    </r>
    <r>
      <rPr>
        <sz val="11"/>
        <color theme="1"/>
        <rFont val="Calibri"/>
        <family val="2"/>
        <scheme val="minor"/>
      </rPr>
      <t>(--)</t>
    </r>
  </si>
  <si>
    <t>32.98</t>
  </si>
  <si>
    <t>CONV-ORANGE aligned</t>
  </si>
  <si>
    <t>CONV-SEMA aligned</t>
  </si>
  <si>
    <r>
      <t xml:space="preserve">CONV aligned </t>
    </r>
    <r>
      <rPr>
        <sz val="11"/>
        <color theme="0" tint="-0.34998626667073579"/>
        <rFont val="Calibri"/>
        <family val="2"/>
        <scheme val="minor"/>
      </rPr>
      <t>(--)</t>
    </r>
  </si>
  <si>
    <t xml:space="preserve"> --except wiki,polite,aspect,polarity,mode,refer-person,refer-number,modal-strength,quote,same-entity,subset-of,same-event</t>
  </si>
  <si>
    <t>souhlasí DZ</t>
  </si>
  <si>
    <t>AGREGOVANÁ ČÍSLA … DAN</t>
  </si>
  <si>
    <t>původní čísla NON-PUD</t>
  </si>
  <si>
    <t>DZ</t>
  </si>
  <si>
    <t>ML = DZ</t>
  </si>
  <si>
    <t>DZ=STpaper</t>
  </si>
  <si>
    <t>sema-cs.gold.eval.log</t>
  </si>
  <si>
    <t>orange-cs.gold.eval.log</t>
  </si>
  <si>
    <t>orange-cs-align.gold.eval.log</t>
  </si>
  <si>
    <t>sema-cs-align.gold.eval.log</t>
  </si>
  <si>
    <t>conv-cs.gold.eval.log</t>
  </si>
  <si>
    <t>orange-cs-0001-align.conv.eval.log</t>
  </si>
  <si>
    <r>
      <t xml:space="preserve">DZ </t>
    </r>
    <r>
      <rPr>
        <sz val="11"/>
        <color rgb="FFFF0000"/>
        <rFont val="Calibri"/>
        <family val="2"/>
        <scheme val="minor"/>
      </rPr>
      <t>(=/=ML)</t>
    </r>
  </si>
  <si>
    <t>sema-cs-0001-align.conv.eval.log</t>
  </si>
  <si>
    <t>wikidata for all nodes with :name attribute (pokud neexistovala položka wikidat, je tam hodnota "Wiki-unknown", např. u konkrétních osob, které nemají wiki)</t>
  </si>
  <si>
    <t>doplněno pro 2.2</t>
  </si>
  <si>
    <t>anchoring - wiki</t>
  </si>
  <si>
    <r>
      <t xml:space="preserve">2.1 conv - </t>
    </r>
    <r>
      <rPr>
        <sz val="11"/>
        <color rgb="FFFF0000"/>
        <rFont val="Calibri"/>
        <family val="2"/>
        <scheme val="minor"/>
      </rPr>
      <t>problem</t>
    </r>
    <r>
      <rPr>
        <sz val="11"/>
        <color theme="1"/>
        <rFont val="Calibri"/>
        <family val="2"/>
        <scheme val="minor"/>
      </rPr>
      <t xml:space="preserve"> with lemma substitutes</t>
    </r>
  </si>
  <si>
    <t>https://github.com/ufal/UMR/tree/main/data/czech/PDT-C-dtest/manual</t>
  </si>
  <si>
    <t>Github poslední verze</t>
  </si>
  <si>
    <t>https://github.com/ufal/UMR/tree/main/data/czech/PDT-C-etest/manual</t>
  </si>
  <si>
    <t>CELKEM 50 vět</t>
  </si>
  <si>
    <t xml:space="preserve">HH: converted to verb concepts (NOT for PDTSC)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</si>
</sst>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16" fillId="6" borderId="0" applyNumberFormat="0" applyBorder="0" applyAlignment="0" applyProtection="0"/>
    <xf numFmtId="0" fontId="15" fillId="7" borderId="0" applyNumberFormat="0" applyBorder="0" applyAlignment="0" applyProtection="0"/>
    <xf numFmtId="0" fontId="21" fillId="13" borderId="0" applyNumberFormat="0" applyBorder="0" applyAlignment="0" applyProtection="0"/>
    <xf numFmtId="0" fontId="25" fillId="0" borderId="0" applyNumberFormat="0" applyFill="0" applyBorder="0" applyAlignment="0" applyProtection="0"/>
  </cellStyleXfs>
  <cellXfs count="19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0" xfId="0" applyAlignment="1">
      <alignment wrapText="1"/>
    </xf>
    <xf numFmtId="0" fontId="4" fillId="0" borderId="0" xfId="0" applyFont="1"/>
    <xf numFmtId="0" fontId="1" fillId="0" borderId="0" xfId="0" applyFont="1"/>
    <xf numFmtId="0" fontId="5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2" fontId="2" fillId="0" borderId="1" xfId="0" applyNumberFormat="1" applyFont="1" applyBorder="1"/>
    <xf numFmtId="2" fontId="3" fillId="3" borderId="1" xfId="0" applyNumberFormat="1" applyFont="1" applyFill="1" applyBorder="1"/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9" fillId="2" borderId="0" xfId="0" applyFont="1" applyFill="1" applyAlignment="1">
      <alignment horizontal="center"/>
    </xf>
    <xf numFmtId="0" fontId="0" fillId="4" borderId="1" xfId="0" applyFill="1" applyBorder="1"/>
    <xf numFmtId="0" fontId="0" fillId="0" borderId="0" xfId="0" applyAlignment="1">
      <alignment horizontal="left"/>
    </xf>
    <xf numFmtId="0" fontId="10" fillId="5" borderId="0" xfId="0" applyFont="1" applyFill="1"/>
    <xf numFmtId="0" fontId="11" fillId="5" borderId="0" xfId="0" applyFont="1" applyFill="1" applyAlignment="1">
      <alignment horizontal="center"/>
    </xf>
    <xf numFmtId="0" fontId="11" fillId="5" borderId="0" xfId="0" applyFont="1" applyFill="1"/>
    <xf numFmtId="0" fontId="1" fillId="0" borderId="0" xfId="0" applyFont="1" applyAlignment="1">
      <alignment horizontal="left"/>
    </xf>
    <xf numFmtId="0" fontId="12" fillId="4" borderId="1" xfId="0" applyFont="1" applyFill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1" fontId="2" fillId="0" borderId="1" xfId="0" applyNumberFormat="1" applyFont="1" applyBorder="1"/>
    <xf numFmtId="0" fontId="4" fillId="0" borderId="1" xfId="0" applyFont="1" applyBorder="1"/>
    <xf numFmtId="0" fontId="4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3" fillId="4" borderId="0" xfId="0" applyFont="1" applyFill="1"/>
    <xf numFmtId="0" fontId="0" fillId="4" borderId="0" xfId="0" applyFill="1"/>
    <xf numFmtId="0" fontId="2" fillId="0" borderId="0" xfId="0" applyFont="1" applyAlignment="1">
      <alignment horizontal="left"/>
    </xf>
    <xf numFmtId="0" fontId="1" fillId="0" borderId="1" xfId="0" applyFont="1" applyBorder="1"/>
    <xf numFmtId="0" fontId="3" fillId="8" borderId="0" xfId="0" applyFont="1" applyFill="1"/>
    <xf numFmtId="0" fontId="0" fillId="8" borderId="0" xfId="0" applyFill="1"/>
    <xf numFmtId="0" fontId="4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2" fontId="2" fillId="9" borderId="0" xfId="0" applyNumberFormat="1" applyFont="1" applyFill="1"/>
    <xf numFmtId="2" fontId="4" fillId="3" borderId="0" xfId="0" applyNumberFormat="1" applyFont="1" applyFill="1"/>
    <xf numFmtId="0" fontId="4" fillId="3" borderId="0" xfId="0" applyFont="1" applyFill="1"/>
    <xf numFmtId="0" fontId="4" fillId="12" borderId="0" xfId="0" applyFont="1" applyFill="1"/>
    <xf numFmtId="2" fontId="0" fillId="0" borderId="0" xfId="0" applyNumberFormat="1"/>
    <xf numFmtId="2" fontId="2" fillId="0" borderId="0" xfId="0" applyNumberFormat="1" applyFont="1"/>
    <xf numFmtId="0" fontId="4" fillId="3" borderId="0" xfId="0" applyFont="1" applyFill="1" applyAlignment="1">
      <alignment horizontal="right"/>
    </xf>
    <xf numFmtId="0" fontId="4" fillId="12" borderId="0" xfId="0" applyFont="1" applyFill="1" applyAlignment="1">
      <alignment horizontal="right"/>
    </xf>
    <xf numFmtId="0" fontId="3" fillId="0" borderId="0" xfId="0" applyFont="1"/>
    <xf numFmtId="0" fontId="4" fillId="0" borderId="0" xfId="1" applyFont="1" applyFill="1" applyBorder="1" applyAlignment="1">
      <alignment horizontal="center"/>
    </xf>
    <xf numFmtId="0" fontId="3" fillId="0" borderId="0" xfId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18" fillId="0" borderId="0" xfId="0" applyFont="1" applyAlignment="1">
      <alignment horizontal="right"/>
    </xf>
    <xf numFmtId="0" fontId="18" fillId="2" borderId="0" xfId="0" applyFont="1" applyFill="1" applyAlignment="1">
      <alignment horizontal="right"/>
    </xf>
    <xf numFmtId="49" fontId="1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8" fillId="10" borderId="0" xfId="0" applyFont="1" applyFill="1" applyAlignment="1">
      <alignment horizontal="right"/>
    </xf>
    <xf numFmtId="0" fontId="9" fillId="0" borderId="0" xfId="0" applyFont="1" applyAlignment="1">
      <alignment horizontal="left"/>
    </xf>
    <xf numFmtId="2" fontId="3" fillId="12" borderId="0" xfId="2" applyNumberFormat="1" applyFont="1" applyFill="1" applyBorder="1"/>
    <xf numFmtId="2" fontId="3" fillId="9" borderId="0" xfId="0" applyNumberFormat="1" applyFont="1" applyFill="1"/>
    <xf numFmtId="2" fontId="4" fillId="12" borderId="0" xfId="0" applyNumberFormat="1" applyFont="1" applyFill="1"/>
    <xf numFmtId="2" fontId="0" fillId="0" borderId="0" xfId="0" applyNumberFormat="1" applyAlignment="1">
      <alignment horizontal="right"/>
    </xf>
    <xf numFmtId="2" fontId="18" fillId="2" borderId="0" xfId="0" applyNumberFormat="1" applyFont="1" applyFill="1" applyAlignment="1">
      <alignment horizontal="right"/>
    </xf>
    <xf numFmtId="2" fontId="19" fillId="3" borderId="0" xfId="0" applyNumberFormat="1" applyFont="1" applyFill="1"/>
    <xf numFmtId="0" fontId="19" fillId="3" borderId="0" xfId="0" applyFont="1" applyFill="1"/>
    <xf numFmtId="0" fontId="20" fillId="3" borderId="0" xfId="0" applyFont="1" applyFill="1"/>
    <xf numFmtId="0" fontId="19" fillId="12" borderId="0" xfId="0" applyFont="1" applyFill="1"/>
    <xf numFmtId="0" fontId="20" fillId="12" borderId="0" xfId="0" applyFont="1" applyFill="1"/>
    <xf numFmtId="0" fontId="19" fillId="10" borderId="0" xfId="1" applyFont="1" applyFill="1" applyBorder="1"/>
    <xf numFmtId="0" fontId="20" fillId="10" borderId="0" xfId="1" applyFont="1" applyFill="1" applyBorder="1"/>
    <xf numFmtId="0" fontId="19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2" fontId="20" fillId="12" borderId="0" xfId="0" applyNumberFormat="1" applyFont="1" applyFill="1"/>
    <xf numFmtId="2" fontId="19" fillId="10" borderId="0" xfId="1" applyNumberFormat="1" applyFont="1" applyFill="1" applyBorder="1"/>
    <xf numFmtId="0" fontId="20" fillId="5" borderId="0" xfId="0" applyFont="1" applyFill="1" applyAlignment="1">
      <alignment horizontal="right"/>
    </xf>
    <xf numFmtId="2" fontId="20" fillId="9" borderId="0" xfId="0" applyNumberFormat="1" applyFont="1" applyFill="1"/>
    <xf numFmtId="0" fontId="20" fillId="11" borderId="0" xfId="1" applyFont="1" applyFill="1" applyBorder="1"/>
    <xf numFmtId="0" fontId="20" fillId="2" borderId="0" xfId="0" applyFont="1" applyFill="1" applyAlignment="1">
      <alignment horizontal="right"/>
    </xf>
    <xf numFmtId="2" fontId="20" fillId="5" borderId="0" xfId="0" applyNumberFormat="1" applyFont="1" applyFill="1" applyAlignment="1">
      <alignment horizontal="right"/>
    </xf>
    <xf numFmtId="0" fontId="20" fillId="9" borderId="0" xfId="2" applyFont="1" applyFill="1" applyBorder="1"/>
    <xf numFmtId="0" fontId="19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20" fillId="12" borderId="0" xfId="0" applyFont="1" applyFill="1" applyAlignment="1">
      <alignment horizontal="center"/>
    </xf>
    <xf numFmtId="0" fontId="19" fillId="10" borderId="0" xfId="1" applyFont="1" applyFill="1" applyBorder="1" applyAlignment="1">
      <alignment horizontal="center"/>
    </xf>
    <xf numFmtId="0" fontId="20" fillId="10" borderId="0" xfId="1" applyFont="1" applyFill="1" applyBorder="1" applyAlignment="1">
      <alignment horizontal="center"/>
    </xf>
    <xf numFmtId="0" fontId="19" fillId="0" borderId="0" xfId="1" applyFont="1" applyFill="1" applyBorder="1" applyAlignment="1">
      <alignment horizontal="center"/>
    </xf>
    <xf numFmtId="0" fontId="20" fillId="0" borderId="0" xfId="1" applyFont="1" applyFill="1" applyBorder="1" applyAlignment="1">
      <alignment horizontal="center"/>
    </xf>
    <xf numFmtId="0" fontId="19" fillId="0" borderId="0" xfId="0" applyFont="1"/>
    <xf numFmtId="0" fontId="20" fillId="0" borderId="0" xfId="0" applyFont="1"/>
    <xf numFmtId="2" fontId="19" fillId="3" borderId="0" xfId="0" applyNumberFormat="1" applyFont="1" applyFill="1" applyAlignment="1">
      <alignment horizontal="right"/>
    </xf>
    <xf numFmtId="0" fontId="19" fillId="3" borderId="0" xfId="0" applyFont="1" applyFill="1" applyAlignment="1">
      <alignment horizontal="right"/>
    </xf>
    <xf numFmtId="0" fontId="20" fillId="3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20" fillId="12" borderId="0" xfId="0" applyFont="1" applyFill="1" applyAlignment="1">
      <alignment horizontal="right"/>
    </xf>
    <xf numFmtId="0" fontId="19" fillId="10" borderId="0" xfId="1" applyFont="1" applyFill="1" applyBorder="1" applyAlignment="1">
      <alignment horizontal="right"/>
    </xf>
    <xf numFmtId="0" fontId="20" fillId="10" borderId="0" xfId="1" applyFont="1" applyFill="1" applyBorder="1" applyAlignment="1">
      <alignment horizontal="right"/>
    </xf>
    <xf numFmtId="2" fontId="20" fillId="12" borderId="0" xfId="0" applyNumberFormat="1" applyFont="1" applyFill="1" applyAlignment="1">
      <alignment horizontal="right"/>
    </xf>
    <xf numFmtId="2" fontId="19" fillId="10" borderId="0" xfId="1" applyNumberFormat="1" applyFont="1" applyFill="1" applyBorder="1" applyAlignment="1">
      <alignment horizontal="right"/>
    </xf>
    <xf numFmtId="2" fontId="20" fillId="9" borderId="0" xfId="0" applyNumberFormat="1" applyFont="1" applyFill="1" applyAlignment="1">
      <alignment horizontal="right"/>
    </xf>
    <xf numFmtId="0" fontId="20" fillId="11" borderId="0" xfId="1" applyFont="1" applyFill="1" applyBorder="1" applyAlignment="1">
      <alignment horizontal="right"/>
    </xf>
    <xf numFmtId="0" fontId="20" fillId="9" borderId="0" xfId="2" applyFont="1" applyFill="1" applyBorder="1" applyAlignment="1">
      <alignment horizontal="right"/>
    </xf>
    <xf numFmtId="49" fontId="20" fillId="0" borderId="0" xfId="0" applyNumberFormat="1" applyFont="1" applyAlignment="1">
      <alignment horizontal="right"/>
    </xf>
    <xf numFmtId="49" fontId="19" fillId="3" borderId="0" xfId="0" applyNumberFormat="1" applyFont="1" applyFill="1" applyAlignment="1">
      <alignment horizontal="right"/>
    </xf>
    <xf numFmtId="0" fontId="20" fillId="5" borderId="0" xfId="2" applyFont="1" applyFill="1" applyBorder="1" applyAlignment="1">
      <alignment horizontal="right"/>
    </xf>
    <xf numFmtId="49" fontId="19" fillId="12" borderId="0" xfId="0" applyNumberFormat="1" applyFont="1" applyFill="1" applyAlignment="1">
      <alignment horizontal="right"/>
    </xf>
    <xf numFmtId="49" fontId="20" fillId="9" borderId="0" xfId="2" applyNumberFormat="1" applyFont="1" applyFill="1" applyBorder="1" applyAlignment="1">
      <alignment horizontal="right"/>
    </xf>
    <xf numFmtId="2" fontId="4" fillId="12" borderId="0" xfId="0" applyNumberFormat="1" applyFont="1" applyFill="1" applyAlignment="1">
      <alignment horizontal="right"/>
    </xf>
    <xf numFmtId="2" fontId="4" fillId="0" borderId="0" xfId="0" applyNumberFormat="1" applyFont="1"/>
    <xf numFmtId="2" fontId="3" fillId="0" borderId="0" xfId="0" applyNumberFormat="1" applyFont="1"/>
    <xf numFmtId="2" fontId="9" fillId="0" borderId="0" xfId="0" applyNumberFormat="1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8" fillId="2" borderId="0" xfId="0" applyFont="1" applyFill="1" applyAlignment="1">
      <alignment horizontal="right"/>
    </xf>
    <xf numFmtId="0" fontId="8" fillId="2" borderId="0" xfId="0" applyFont="1" applyFill="1"/>
    <xf numFmtId="0" fontId="2" fillId="9" borderId="0" xfId="0" applyFont="1" applyFill="1" applyAlignment="1">
      <alignment horizontal="center"/>
    </xf>
    <xf numFmtId="0" fontId="17" fillId="13" borderId="0" xfId="3" applyFont="1" applyAlignment="1">
      <alignment horizontal="right"/>
    </xf>
    <xf numFmtId="2" fontId="17" fillId="0" borderId="0" xfId="0" applyNumberFormat="1" applyFont="1" applyAlignment="1">
      <alignment horizontal="right"/>
    </xf>
    <xf numFmtId="0" fontId="22" fillId="2" borderId="0" xfId="0" applyFont="1" applyFill="1" applyAlignment="1">
      <alignment horizontal="right"/>
    </xf>
    <xf numFmtId="2" fontId="17" fillId="9" borderId="0" xfId="0" applyNumberFormat="1" applyFont="1" applyFill="1"/>
    <xf numFmtId="2" fontId="17" fillId="0" borderId="0" xfId="0" applyNumberFormat="1" applyFont="1"/>
    <xf numFmtId="0" fontId="20" fillId="0" borderId="0" xfId="0" applyFont="1" applyAlignment="1">
      <alignment horizontal="center"/>
    </xf>
    <xf numFmtId="2" fontId="20" fillId="0" borderId="0" xfId="0" applyNumberFormat="1" applyFont="1"/>
    <xf numFmtId="0" fontId="20" fillId="0" borderId="0" xfId="2" applyFont="1" applyFill="1" applyBorder="1"/>
    <xf numFmtId="2" fontId="20" fillId="0" borderId="0" xfId="0" applyNumberFormat="1" applyFont="1" applyAlignment="1">
      <alignment horizontal="right"/>
    </xf>
    <xf numFmtId="0" fontId="20" fillId="0" borderId="0" xfId="2" applyFont="1" applyFill="1" applyBorder="1" applyAlignment="1">
      <alignment horizontal="right"/>
    </xf>
    <xf numFmtId="2" fontId="17" fillId="12" borderId="0" xfId="2" applyNumberFormat="1" applyFont="1" applyFill="1" applyBorder="1"/>
    <xf numFmtId="49" fontId="20" fillId="0" borderId="0" xfId="2" applyNumberFormat="1" applyFont="1" applyFill="1" applyBorder="1" applyAlignment="1">
      <alignment horizontal="right"/>
    </xf>
    <xf numFmtId="0" fontId="3" fillId="5" borderId="0" xfId="0" applyFont="1" applyFill="1" applyAlignment="1">
      <alignment horizontal="right"/>
    </xf>
    <xf numFmtId="2" fontId="3" fillId="5" borderId="0" xfId="0" applyNumberFormat="1" applyFont="1" applyFill="1" applyAlignment="1">
      <alignment horizontal="right"/>
    </xf>
    <xf numFmtId="0" fontId="3" fillId="8" borderId="5" xfId="0" applyFont="1" applyFill="1" applyBorder="1"/>
    <xf numFmtId="0" fontId="0" fillId="8" borderId="6" xfId="0" applyFill="1" applyBorder="1"/>
    <xf numFmtId="0" fontId="0" fillId="8" borderId="7" xfId="0" applyFill="1" applyBorder="1"/>
    <xf numFmtId="0" fontId="0" fillId="0" borderId="8" xfId="0" applyBorder="1"/>
    <xf numFmtId="0" fontId="2" fillId="0" borderId="9" xfId="0" applyFont="1" applyBorder="1" applyAlignment="1">
      <alignment horizontal="center"/>
    </xf>
    <xf numFmtId="0" fontId="0" fillId="8" borderId="8" xfId="0" applyFill="1" applyBorder="1"/>
    <xf numFmtId="2" fontId="0" fillId="8" borderId="0" xfId="0" applyNumberFormat="1" applyFill="1"/>
    <xf numFmtId="0" fontId="18" fillId="8" borderId="0" xfId="0" applyFont="1" applyFill="1"/>
    <xf numFmtId="0" fontId="2" fillId="8" borderId="8" xfId="0" applyFont="1" applyFill="1" applyBorder="1"/>
    <xf numFmtId="0" fontId="18" fillId="14" borderId="0" xfId="0" applyFont="1" applyFill="1"/>
    <xf numFmtId="2" fontId="0" fillId="0" borderId="0" xfId="0" applyNumberFormat="1" applyAlignment="1">
      <alignment horizontal="left" indent="2"/>
    </xf>
    <xf numFmtId="0" fontId="0" fillId="0" borderId="9" xfId="0" applyBorder="1"/>
    <xf numFmtId="0" fontId="20" fillId="2" borderId="0" xfId="2" applyFont="1" applyFill="1" applyBorder="1" applyAlignment="1">
      <alignment horizontal="right"/>
    </xf>
    <xf numFmtId="49" fontId="19" fillId="0" borderId="0" xfId="0" applyNumberFormat="1" applyFont="1" applyAlignment="1">
      <alignment horizontal="right"/>
    </xf>
    <xf numFmtId="0" fontId="20" fillId="0" borderId="8" xfId="0" applyFont="1" applyBorder="1"/>
    <xf numFmtId="0" fontId="19" fillId="0" borderId="8" xfId="0" applyFont="1" applyBorder="1"/>
    <xf numFmtId="0" fontId="19" fillId="0" borderId="0" xfId="0" applyFont="1" applyAlignment="1">
      <alignment horizontal="center"/>
    </xf>
    <xf numFmtId="2" fontId="19" fillId="0" borderId="0" xfId="0" applyNumberFormat="1" applyFont="1"/>
    <xf numFmtId="0" fontId="19" fillId="0" borderId="9" xfId="0" applyFont="1" applyBorder="1"/>
    <xf numFmtId="0" fontId="20" fillId="0" borderId="10" xfId="0" applyFont="1" applyBorder="1"/>
    <xf numFmtId="2" fontId="19" fillId="0" borderId="11" xfId="0" applyNumberFormat="1" applyFont="1" applyBorder="1"/>
    <xf numFmtId="0" fontId="20" fillId="14" borderId="11" xfId="0" applyFont="1" applyFill="1" applyBorder="1"/>
    <xf numFmtId="0" fontId="23" fillId="15" borderId="11" xfId="0" applyFont="1" applyFill="1" applyBorder="1"/>
    <xf numFmtId="2" fontId="19" fillId="0" borderId="9" xfId="0" applyNumberFormat="1" applyFont="1" applyBorder="1"/>
    <xf numFmtId="0" fontId="19" fillId="0" borderId="11" xfId="0" applyFont="1" applyBorder="1"/>
    <xf numFmtId="0" fontId="19" fillId="0" borderId="12" xfId="0" applyFont="1" applyBorder="1"/>
    <xf numFmtId="0" fontId="0" fillId="0" borderId="6" xfId="0" applyBorder="1"/>
    <xf numFmtId="2" fontId="22" fillId="8" borderId="0" xfId="0" applyNumberFormat="1" applyFont="1" applyFill="1"/>
    <xf numFmtId="2" fontId="2" fillId="8" borderId="9" xfId="0" applyNumberFormat="1" applyFont="1" applyFill="1" applyBorder="1"/>
    <xf numFmtId="2" fontId="2" fillId="16" borderId="9" xfId="0" applyNumberFormat="1" applyFont="1" applyFill="1" applyBorder="1"/>
    <xf numFmtId="2" fontId="17" fillId="2" borderId="0" xfId="0" applyNumberFormat="1" applyFont="1" applyFill="1" applyAlignment="1">
      <alignment horizontal="right"/>
    </xf>
    <xf numFmtId="2" fontId="17" fillId="13" borderId="0" xfId="3" applyNumberFormat="1" applyFont="1" applyAlignment="1">
      <alignment horizontal="right"/>
    </xf>
    <xf numFmtId="2" fontId="24" fillId="15" borderId="0" xfId="0" applyNumberFormat="1" applyFont="1" applyFill="1"/>
    <xf numFmtId="0" fontId="17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3" fillId="5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0" fontId="20" fillId="12" borderId="0" xfId="0" applyFont="1" applyFill="1" applyAlignment="1">
      <alignment horizontal="center"/>
    </xf>
    <xf numFmtId="0" fontId="20" fillId="5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3" fillId="11" borderId="0" xfId="1" applyFont="1" applyFill="1" applyBorder="1" applyAlignment="1">
      <alignment horizontal="center"/>
    </xf>
    <xf numFmtId="0" fontId="3" fillId="11" borderId="9" xfId="1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0" fillId="11" borderId="0" xfId="1" applyFont="1" applyFill="1" applyBorder="1" applyAlignment="1">
      <alignment horizontal="center"/>
    </xf>
    <xf numFmtId="0" fontId="8" fillId="11" borderId="0" xfId="1" applyFont="1" applyFill="1" applyBorder="1" applyAlignment="1">
      <alignment horizontal="center"/>
    </xf>
    <xf numFmtId="0" fontId="25" fillId="0" borderId="0" xfId="4"/>
    <xf numFmtId="0" fontId="1" fillId="2" borderId="0" xfId="0" applyFont="1" applyFill="1" applyAlignment="1">
      <alignment horizontal="left"/>
    </xf>
  </cellXfs>
  <cellStyles count="5">
    <cellStyle name="20 % – Zvýraznění 2" xfId="2" builtinId="34"/>
    <cellStyle name="Hypertextový odkaz" xfId="4" builtinId="8"/>
    <cellStyle name="Normální" xfId="0" builtinId="0"/>
    <cellStyle name="Správně" xfId="1" builtinId="26"/>
    <cellStyle name="Špatně" xfId="3" builtinId="2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ufal/UMR/tree/main/data/czech/PDT-C-dtest/manual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6"/>
  <sheetViews>
    <sheetView workbookViewId="0">
      <selection activeCell="A4" sqref="A4"/>
    </sheetView>
  </sheetViews>
  <sheetFormatPr defaultRowHeight="15" x14ac:dyDescent="0.25"/>
  <cols>
    <col min="1" max="1" width="22.140625" customWidth="1"/>
    <col min="2" max="2" width="7.42578125" customWidth="1"/>
    <col min="3" max="3" width="10.28515625" style="1" customWidth="1"/>
    <col min="4" max="7" width="8.7109375" style="1" customWidth="1"/>
    <col min="8" max="8" width="10.7109375" customWidth="1"/>
    <col min="9" max="9" width="8.7109375" customWidth="1"/>
    <col min="10" max="14" width="8.7109375" style="1" customWidth="1"/>
    <col min="15" max="15" width="10" style="1" customWidth="1"/>
    <col min="16" max="16" width="7.28515625" customWidth="1"/>
    <col min="17" max="17" width="12" customWidth="1"/>
    <col min="18" max="18" width="10.42578125" customWidth="1"/>
    <col min="19" max="19" width="7.85546875" customWidth="1"/>
    <col min="20" max="20" width="9.42578125" customWidth="1"/>
    <col min="21" max="21" width="12.28515625" customWidth="1"/>
    <col min="22" max="22" width="13.85546875" customWidth="1"/>
    <col min="23" max="23" width="7.28515625" customWidth="1"/>
    <col min="24" max="24" width="12.85546875" customWidth="1"/>
    <col min="25" max="28" width="5.7109375" customWidth="1"/>
    <col min="29" max="29" width="6.85546875" style="1" customWidth="1"/>
  </cols>
  <sheetData>
    <row r="1" spans="1:27" ht="17.25" x14ac:dyDescent="0.3">
      <c r="A1" s="31" t="s">
        <v>38</v>
      </c>
      <c r="B1" s="31"/>
      <c r="C1" s="32"/>
      <c r="D1" s="32"/>
      <c r="E1" s="32"/>
      <c r="F1" s="32"/>
      <c r="G1" s="32"/>
      <c r="H1" s="33"/>
      <c r="I1" s="33"/>
      <c r="J1" s="32"/>
      <c r="K1" s="32"/>
      <c r="L1" s="32"/>
      <c r="M1" s="32"/>
      <c r="N1" s="32"/>
      <c r="O1" s="32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</row>
    <row r="2" spans="1:27" x14ac:dyDescent="0.25">
      <c r="A2" t="s">
        <v>39</v>
      </c>
    </row>
    <row r="4" spans="1:27" x14ac:dyDescent="0.25">
      <c r="A4" t="s">
        <v>353</v>
      </c>
      <c r="B4" s="196" t="s">
        <v>352</v>
      </c>
    </row>
    <row r="6" spans="1:27" x14ac:dyDescent="0.25">
      <c r="A6" s="46" t="s">
        <v>80</v>
      </c>
      <c r="B6" s="47"/>
      <c r="C6" s="47"/>
      <c r="D6" s="47"/>
      <c r="E6" s="47"/>
      <c r="F6" s="47"/>
      <c r="G6" s="47"/>
      <c r="H6" s="47"/>
      <c r="J6"/>
      <c r="K6"/>
      <c r="L6"/>
      <c r="M6"/>
      <c r="N6"/>
    </row>
    <row r="7" spans="1:27" x14ac:dyDescent="0.25">
      <c r="A7" s="2" t="s">
        <v>45</v>
      </c>
      <c r="G7" s="2"/>
      <c r="K7" s="2"/>
      <c r="L7"/>
    </row>
    <row r="8" spans="1:27" x14ac:dyDescent="0.25">
      <c r="A8" s="48" t="s">
        <v>40</v>
      </c>
      <c r="B8" s="30"/>
      <c r="C8" s="30" t="s">
        <v>73</v>
      </c>
      <c r="E8" s="30"/>
      <c r="F8" s="30"/>
      <c r="G8"/>
      <c r="K8" s="30"/>
      <c r="L8" s="30"/>
      <c r="M8" s="30"/>
    </row>
    <row r="9" spans="1:27" x14ac:dyDescent="0.25">
      <c r="A9" s="48"/>
      <c r="B9" s="30"/>
      <c r="C9" s="30" t="s">
        <v>41</v>
      </c>
      <c r="E9" s="30"/>
      <c r="F9" s="30"/>
      <c r="G9"/>
      <c r="K9" s="30"/>
      <c r="L9" s="30"/>
      <c r="M9" s="30"/>
    </row>
    <row r="10" spans="1:27" x14ac:dyDescent="0.25">
      <c r="A10" s="48"/>
      <c r="B10" s="30"/>
      <c r="C10" s="30" t="s">
        <v>42</v>
      </c>
      <c r="E10" s="30"/>
      <c r="F10" s="30"/>
      <c r="G10"/>
      <c r="I10" s="30"/>
      <c r="K10" s="30"/>
      <c r="L10" s="30"/>
      <c r="M10" s="30"/>
    </row>
    <row r="11" spans="1:27" x14ac:dyDescent="0.25">
      <c r="A11" s="48" t="s">
        <v>43</v>
      </c>
      <c r="B11" s="30"/>
      <c r="C11" s="30" t="s">
        <v>44</v>
      </c>
      <c r="E11" s="30"/>
      <c r="F11" s="30"/>
      <c r="G11" s="30"/>
      <c r="H11" s="30"/>
      <c r="I11" s="30"/>
      <c r="K11" s="30"/>
      <c r="L11" s="30"/>
      <c r="M11" s="30"/>
    </row>
    <row r="12" spans="1:27" x14ac:dyDescent="0.25">
      <c r="A12" s="48" t="s">
        <v>58</v>
      </c>
      <c r="B12" s="30"/>
      <c r="C12" s="30" t="s">
        <v>59</v>
      </c>
      <c r="E12" s="30"/>
      <c r="F12" s="30"/>
      <c r="G12" s="30"/>
      <c r="H12" s="30"/>
      <c r="I12" s="30"/>
      <c r="K12" s="30"/>
      <c r="L12" s="30"/>
      <c r="M12" s="30"/>
    </row>
    <row r="13" spans="1:27" x14ac:dyDescent="0.25">
      <c r="A13" s="48" t="s">
        <v>75</v>
      </c>
      <c r="B13" s="30"/>
      <c r="C13" s="30" t="s">
        <v>76</v>
      </c>
      <c r="E13" s="30"/>
      <c r="F13" s="30"/>
      <c r="G13" s="30"/>
      <c r="H13" s="30"/>
      <c r="I13" s="30"/>
      <c r="K13" s="30"/>
      <c r="L13" s="30"/>
      <c r="M13" s="30"/>
    </row>
    <row r="14" spans="1:27" x14ac:dyDescent="0.25">
      <c r="A14" s="48" t="s">
        <v>48</v>
      </c>
      <c r="B14" s="30"/>
      <c r="C14" s="30" t="s">
        <v>49</v>
      </c>
      <c r="E14" s="30"/>
      <c r="F14" s="30"/>
      <c r="G14" s="30"/>
      <c r="K14" s="30"/>
      <c r="L14" s="30"/>
      <c r="M14" s="30"/>
    </row>
    <row r="15" spans="1:27" x14ac:dyDescent="0.25">
      <c r="A15" s="48"/>
      <c r="B15" s="30"/>
      <c r="C15" s="30" t="s">
        <v>64</v>
      </c>
      <c r="E15" s="30"/>
      <c r="F15" s="30"/>
      <c r="G15" s="30"/>
      <c r="K15" s="30"/>
      <c r="L15" s="30"/>
      <c r="M15" s="30"/>
    </row>
    <row r="16" spans="1:27" x14ac:dyDescent="0.25">
      <c r="A16" s="48" t="s">
        <v>350</v>
      </c>
      <c r="B16" s="30"/>
      <c r="C16" s="30" t="s">
        <v>62</v>
      </c>
      <c r="D16" s="45" t="s">
        <v>348</v>
      </c>
      <c r="E16" s="30"/>
      <c r="F16" s="30"/>
      <c r="G16" s="30"/>
      <c r="K16" s="30"/>
      <c r="L16"/>
      <c r="M16" s="30"/>
    </row>
    <row r="17" spans="1:30" x14ac:dyDescent="0.25">
      <c r="A17" s="30"/>
      <c r="B17" s="30"/>
      <c r="C17" s="43" t="s">
        <v>63</v>
      </c>
      <c r="D17" s="34" t="s">
        <v>53</v>
      </c>
      <c r="E17" s="30"/>
      <c r="F17" s="30"/>
      <c r="G17" s="30"/>
      <c r="K17" s="30"/>
      <c r="L17" s="30"/>
      <c r="M17" s="30"/>
      <c r="N17" s="34"/>
    </row>
    <row r="18" spans="1:30" x14ac:dyDescent="0.25">
      <c r="A18" s="30"/>
      <c r="B18" s="30"/>
      <c r="C18" s="30"/>
      <c r="E18" s="30"/>
      <c r="F18" s="30"/>
      <c r="G18"/>
      <c r="K18" s="30"/>
      <c r="L18" s="30"/>
      <c r="M18" s="30"/>
      <c r="N18" s="34"/>
    </row>
    <row r="19" spans="1:30" x14ac:dyDescent="0.25">
      <c r="A19" s="2" t="s">
        <v>46</v>
      </c>
      <c r="C19" s="30" t="s">
        <v>47</v>
      </c>
      <c r="E19" s="30"/>
      <c r="F19" s="30"/>
      <c r="G19" s="2"/>
      <c r="I19" s="30"/>
      <c r="K19" s="2"/>
      <c r="L19"/>
      <c r="M19" s="30"/>
    </row>
    <row r="20" spans="1:30" x14ac:dyDescent="0.25">
      <c r="A20" s="30"/>
      <c r="B20" s="30"/>
      <c r="C20" s="30"/>
      <c r="E20" s="30"/>
      <c r="F20" s="30"/>
      <c r="K20" s="30"/>
      <c r="L20" s="30"/>
      <c r="M20" s="30"/>
    </row>
    <row r="21" spans="1:30" x14ac:dyDescent="0.25">
      <c r="A21" s="30" t="s">
        <v>51</v>
      </c>
      <c r="B21" s="30"/>
      <c r="C21" s="30" t="s">
        <v>351</v>
      </c>
      <c r="E21" s="30"/>
      <c r="F21" s="30"/>
      <c r="G21"/>
      <c r="K21" s="30"/>
      <c r="L21" s="30"/>
      <c r="M21" s="30"/>
    </row>
    <row r="22" spans="1:30" x14ac:dyDescent="0.25">
      <c r="G22" s="30"/>
      <c r="H22" s="30"/>
    </row>
    <row r="23" spans="1:30" s="36" customFormat="1" ht="25.5" x14ac:dyDescent="0.25">
      <c r="A23" s="35"/>
      <c r="B23" s="35" t="s">
        <v>50</v>
      </c>
      <c r="C23" s="35" t="s">
        <v>1</v>
      </c>
      <c r="D23" s="35" t="s">
        <v>7</v>
      </c>
      <c r="E23" s="35" t="s">
        <v>2</v>
      </c>
      <c r="F23" s="35" t="s">
        <v>3</v>
      </c>
      <c r="G23" s="35" t="s">
        <v>4</v>
      </c>
      <c r="I23" s="37"/>
      <c r="J23" s="38" t="s">
        <v>1</v>
      </c>
      <c r="K23" s="38" t="s">
        <v>7</v>
      </c>
      <c r="L23" s="39" t="s">
        <v>22</v>
      </c>
      <c r="M23" s="38" t="s">
        <v>2</v>
      </c>
      <c r="N23" s="38" t="s">
        <v>3</v>
      </c>
      <c r="O23" s="39" t="s">
        <v>23</v>
      </c>
      <c r="P23" s="38" t="s">
        <v>4</v>
      </c>
      <c r="AD23" s="40"/>
    </row>
    <row r="24" spans="1:30" x14ac:dyDescent="0.25">
      <c r="A24" t="s">
        <v>0</v>
      </c>
      <c r="B24" t="s">
        <v>34</v>
      </c>
      <c r="C24" s="1">
        <v>14</v>
      </c>
      <c r="D24" s="1">
        <v>268</v>
      </c>
      <c r="F24" s="1">
        <v>226</v>
      </c>
      <c r="G24" s="1">
        <v>198</v>
      </c>
      <c r="I24" s="5" t="s">
        <v>12</v>
      </c>
      <c r="J24" s="6">
        <f>C24+C25</f>
        <v>25</v>
      </c>
      <c r="K24" s="6">
        <f>D24+D25</f>
        <v>467</v>
      </c>
      <c r="L24" s="18">
        <f>K24/J24</f>
        <v>18.68</v>
      </c>
      <c r="M24" s="6">
        <v>378</v>
      </c>
      <c r="N24" s="9">
        <f>F24+F25</f>
        <v>375</v>
      </c>
      <c r="O24" s="20">
        <f>N24/M24</f>
        <v>0.99206349206349209</v>
      </c>
      <c r="P24" s="9">
        <f>G24+G25</f>
        <v>349</v>
      </c>
      <c r="R24" s="12" t="s">
        <v>67</v>
      </c>
      <c r="AC24"/>
      <c r="AD24" s="1"/>
    </row>
    <row r="25" spans="1:30" x14ac:dyDescent="0.25">
      <c r="A25" t="s">
        <v>6</v>
      </c>
      <c r="B25" t="s">
        <v>32</v>
      </c>
      <c r="C25" s="1">
        <v>11</v>
      </c>
      <c r="D25" s="1">
        <v>199</v>
      </c>
      <c r="F25" s="1">
        <v>149</v>
      </c>
      <c r="G25" s="1">
        <v>151</v>
      </c>
      <c r="I25" s="5"/>
      <c r="J25" s="6"/>
      <c r="K25" s="6"/>
      <c r="L25" s="18"/>
      <c r="M25" s="6"/>
      <c r="N25" s="9"/>
      <c r="O25" s="20"/>
      <c r="P25" s="9"/>
      <c r="R25" s="12" t="s">
        <v>67</v>
      </c>
      <c r="AC25"/>
      <c r="AD25" s="1"/>
    </row>
    <row r="26" spans="1:30" x14ac:dyDescent="0.25">
      <c r="A26" t="s">
        <v>5</v>
      </c>
      <c r="B26" t="s">
        <v>34</v>
      </c>
      <c r="C26" s="1">
        <v>25</v>
      </c>
      <c r="D26" s="1">
        <v>172</v>
      </c>
      <c r="F26" s="8">
        <v>204</v>
      </c>
      <c r="G26" s="1">
        <v>136</v>
      </c>
      <c r="I26" s="5" t="s">
        <v>13</v>
      </c>
      <c r="J26" s="6">
        <f>C26+C27</f>
        <v>50</v>
      </c>
      <c r="K26" s="6">
        <f>D26+D27</f>
        <v>374</v>
      </c>
      <c r="L26" s="18">
        <f>K26/J26</f>
        <v>7.48</v>
      </c>
      <c r="M26" s="6">
        <v>321</v>
      </c>
      <c r="N26" s="9">
        <f>F26+F27</f>
        <v>442</v>
      </c>
      <c r="O26" s="20">
        <f>N26/M26</f>
        <v>1.3769470404984423</v>
      </c>
      <c r="P26" s="9">
        <f>G26+G27</f>
        <v>305</v>
      </c>
      <c r="R26" s="12" t="s">
        <v>67</v>
      </c>
      <c r="AC26"/>
      <c r="AD26" s="1"/>
    </row>
    <row r="27" spans="1:30" x14ac:dyDescent="0.25">
      <c r="A27" t="s">
        <v>8</v>
      </c>
      <c r="B27" t="s">
        <v>32</v>
      </c>
      <c r="C27" s="1">
        <v>25</v>
      </c>
      <c r="D27" s="1">
        <v>202</v>
      </c>
      <c r="F27" s="8">
        <v>238</v>
      </c>
      <c r="G27" s="1">
        <v>169</v>
      </c>
      <c r="I27" s="5"/>
      <c r="J27" s="6"/>
      <c r="K27" s="6"/>
      <c r="L27" s="18"/>
      <c r="M27" s="6"/>
      <c r="N27" s="7"/>
      <c r="O27" s="20"/>
      <c r="P27" s="9"/>
      <c r="R27" s="12" t="s">
        <v>67</v>
      </c>
      <c r="AC27"/>
      <c r="AD27" s="1"/>
    </row>
    <row r="28" spans="1:30" x14ac:dyDescent="0.25">
      <c r="A28" t="s">
        <v>10</v>
      </c>
      <c r="B28" s="10" t="s">
        <v>34</v>
      </c>
      <c r="C28" s="1">
        <v>6</v>
      </c>
      <c r="D28" s="1">
        <v>225</v>
      </c>
      <c r="F28" s="1">
        <v>135</v>
      </c>
      <c r="G28" s="1">
        <v>188</v>
      </c>
      <c r="H28" s="10"/>
      <c r="I28" s="5" t="s">
        <v>14</v>
      </c>
      <c r="J28" s="6">
        <f>C28+C30</f>
        <v>16</v>
      </c>
      <c r="K28" s="6">
        <f>D28+D30</f>
        <v>474</v>
      </c>
      <c r="L28" s="18">
        <f>K28/J28</f>
        <v>29.625</v>
      </c>
      <c r="M28" s="6">
        <v>400</v>
      </c>
      <c r="N28" s="9">
        <f>F28+F30</f>
        <v>307</v>
      </c>
      <c r="O28" s="20">
        <f>N28/M28</f>
        <v>0.76749999999999996</v>
      </c>
      <c r="P28" s="7">
        <v>327</v>
      </c>
      <c r="Q28" s="44" t="s">
        <v>74</v>
      </c>
      <c r="R28" s="12" t="s">
        <v>67</v>
      </c>
      <c r="AC28"/>
      <c r="AD28" s="1"/>
    </row>
    <row r="29" spans="1:30" x14ac:dyDescent="0.25">
      <c r="A29" s="53" t="s">
        <v>349</v>
      </c>
      <c r="B29" s="44" t="s">
        <v>34</v>
      </c>
      <c r="C29" s="179">
        <v>12</v>
      </c>
      <c r="D29" s="179"/>
      <c r="H29" s="10"/>
      <c r="I29" s="5"/>
      <c r="J29" s="6"/>
      <c r="K29" s="6"/>
      <c r="L29" s="18"/>
      <c r="M29" s="6"/>
      <c r="N29" s="9"/>
      <c r="O29" s="20"/>
      <c r="P29" s="7"/>
      <c r="Q29" s="44"/>
      <c r="R29" s="12"/>
      <c r="AC29"/>
      <c r="AD29" s="1"/>
    </row>
    <row r="30" spans="1:30" x14ac:dyDescent="0.25">
      <c r="A30" t="s">
        <v>11</v>
      </c>
      <c r="B30" t="s">
        <v>32</v>
      </c>
      <c r="C30" s="1">
        <v>10</v>
      </c>
      <c r="D30" s="1">
        <v>249</v>
      </c>
      <c r="F30" s="1">
        <v>172</v>
      </c>
      <c r="G30" s="1">
        <v>191</v>
      </c>
      <c r="H30" s="10"/>
      <c r="I30" s="5"/>
      <c r="J30" s="6"/>
      <c r="K30" s="6"/>
      <c r="L30" s="18"/>
      <c r="M30" s="6"/>
      <c r="N30" s="6"/>
      <c r="O30" s="20"/>
      <c r="P30" s="6"/>
      <c r="R30" s="12" t="s">
        <v>67</v>
      </c>
      <c r="AC30"/>
      <c r="AD30" s="1"/>
    </row>
    <row r="31" spans="1:30" x14ac:dyDescent="0.25">
      <c r="C31" s="3">
        <f>SUM(C24:C30)</f>
        <v>103</v>
      </c>
      <c r="D31" s="3">
        <f>SUM(D24:D30)</f>
        <v>1315</v>
      </c>
      <c r="E31" s="3"/>
      <c r="F31" s="4">
        <f>SUM(F24:F30)</f>
        <v>1124</v>
      </c>
      <c r="G31" s="4">
        <f>SUM(G24:G30)</f>
        <v>1033</v>
      </c>
      <c r="H31" s="2"/>
      <c r="I31" s="5" t="s">
        <v>15</v>
      </c>
      <c r="J31" s="6">
        <f>SUM(J24:J30)</f>
        <v>91</v>
      </c>
      <c r="K31" s="6">
        <f>SUM(K24:K30)</f>
        <v>1315</v>
      </c>
      <c r="L31" s="15">
        <f>K31/J31</f>
        <v>14.450549450549451</v>
      </c>
      <c r="M31" s="6">
        <f>SUM(M24:M30)</f>
        <v>1099</v>
      </c>
      <c r="N31" s="9">
        <f>SUM(N24:N30)</f>
        <v>1124</v>
      </c>
      <c r="O31" s="20">
        <f>N31/M31</f>
        <v>1.0227479526842584</v>
      </c>
      <c r="P31" s="9">
        <f>SUM(P24:P30)</f>
        <v>981</v>
      </c>
      <c r="AC31"/>
      <c r="AD31" s="1"/>
    </row>
    <row r="33" spans="1:32" s="26" customFormat="1" x14ac:dyDescent="0.25">
      <c r="A33" s="24" t="s">
        <v>7</v>
      </c>
      <c r="B33" s="24"/>
      <c r="C33" s="25">
        <v>1</v>
      </c>
      <c r="D33" s="25">
        <v>2</v>
      </c>
      <c r="E33" s="25">
        <v>3</v>
      </c>
      <c r="F33" s="25">
        <v>4</v>
      </c>
      <c r="G33" s="25">
        <v>5</v>
      </c>
      <c r="H33" s="25">
        <v>6</v>
      </c>
      <c r="I33" s="25">
        <v>7</v>
      </c>
      <c r="J33" s="25">
        <v>8</v>
      </c>
      <c r="K33" s="25">
        <v>9</v>
      </c>
      <c r="L33" s="25"/>
      <c r="M33" s="25">
        <v>10</v>
      </c>
      <c r="N33" s="25">
        <v>11</v>
      </c>
      <c r="O33" s="25">
        <v>12</v>
      </c>
      <c r="P33" s="25">
        <v>13</v>
      </c>
      <c r="Q33" s="25">
        <v>14</v>
      </c>
      <c r="R33" s="25">
        <v>15</v>
      </c>
      <c r="S33" s="25">
        <v>16</v>
      </c>
      <c r="T33" s="25">
        <v>17</v>
      </c>
      <c r="U33" s="25">
        <v>18</v>
      </c>
      <c r="V33" s="25">
        <v>19</v>
      </c>
      <c r="W33" s="25">
        <v>20</v>
      </c>
      <c r="X33" s="25">
        <v>21</v>
      </c>
      <c r="Y33" s="25">
        <v>22</v>
      </c>
      <c r="Z33" s="25">
        <v>23</v>
      </c>
      <c r="AA33" s="25">
        <v>24</v>
      </c>
      <c r="AB33" s="25">
        <v>25</v>
      </c>
      <c r="AC33" s="25" t="s">
        <v>9</v>
      </c>
    </row>
    <row r="34" spans="1:32" s="26" customFormat="1" x14ac:dyDescent="0.25">
      <c r="A34" s="26" t="s">
        <v>0</v>
      </c>
      <c r="C34" s="27">
        <v>22</v>
      </c>
      <c r="D34" s="27">
        <v>24</v>
      </c>
      <c r="E34" s="27">
        <v>16</v>
      </c>
      <c r="F34" s="27">
        <v>22</v>
      </c>
      <c r="G34" s="27">
        <v>8</v>
      </c>
      <c r="H34" s="27">
        <v>24</v>
      </c>
      <c r="I34" s="27">
        <v>33</v>
      </c>
      <c r="J34" s="27">
        <v>38</v>
      </c>
      <c r="K34" s="27">
        <v>8</v>
      </c>
      <c r="L34" s="27"/>
      <c r="M34" s="27">
        <v>7</v>
      </c>
      <c r="N34" s="27">
        <v>20</v>
      </c>
      <c r="O34" s="27">
        <v>22</v>
      </c>
      <c r="P34" s="27">
        <v>18</v>
      </c>
      <c r="Q34" s="27">
        <v>5</v>
      </c>
      <c r="R34" s="28">
        <v>1</v>
      </c>
      <c r="AC34" s="25">
        <f>SUM(C34:AB34)</f>
        <v>268</v>
      </c>
    </row>
    <row r="35" spans="1:32" s="26" customFormat="1" x14ac:dyDescent="0.25">
      <c r="A35" s="26" t="s">
        <v>6</v>
      </c>
      <c r="C35" s="27">
        <v>6</v>
      </c>
      <c r="D35" s="27">
        <v>2</v>
      </c>
      <c r="E35" s="27">
        <v>30</v>
      </c>
      <c r="F35" s="27">
        <v>17</v>
      </c>
      <c r="G35" s="27">
        <v>28</v>
      </c>
      <c r="H35" s="27">
        <v>17</v>
      </c>
      <c r="I35" s="27">
        <v>14</v>
      </c>
      <c r="J35" s="27">
        <v>15</v>
      </c>
      <c r="K35" s="27">
        <v>26</v>
      </c>
      <c r="L35" s="27"/>
      <c r="M35" s="27">
        <v>19</v>
      </c>
      <c r="N35" s="27">
        <v>25</v>
      </c>
      <c r="O35" s="27"/>
      <c r="AC35" s="25">
        <f t="shared" ref="AC35:AC39" si="0">SUM(C35:AB35)</f>
        <v>199</v>
      </c>
    </row>
    <row r="36" spans="1:32" s="26" customFormat="1" x14ac:dyDescent="0.25">
      <c r="A36" s="26" t="s">
        <v>5</v>
      </c>
      <c r="C36" s="27">
        <v>4</v>
      </c>
      <c r="D36" s="27">
        <v>8</v>
      </c>
      <c r="E36" s="27">
        <v>14</v>
      </c>
      <c r="F36" s="27">
        <v>5</v>
      </c>
      <c r="G36" s="27">
        <v>5</v>
      </c>
      <c r="H36" s="27">
        <v>5</v>
      </c>
      <c r="I36" s="27">
        <v>6</v>
      </c>
      <c r="J36" s="27">
        <v>6</v>
      </c>
      <c r="K36" s="27">
        <v>2</v>
      </c>
      <c r="L36" s="27"/>
      <c r="M36" s="27">
        <v>6</v>
      </c>
      <c r="N36" s="27">
        <v>6</v>
      </c>
      <c r="O36" s="27">
        <v>5</v>
      </c>
      <c r="P36" s="27">
        <v>18</v>
      </c>
      <c r="Q36" s="27">
        <v>7</v>
      </c>
      <c r="R36" s="27">
        <v>17</v>
      </c>
      <c r="S36" s="27">
        <v>4</v>
      </c>
      <c r="T36" s="27">
        <v>3</v>
      </c>
      <c r="U36" s="27">
        <v>4</v>
      </c>
      <c r="V36" s="27">
        <v>4</v>
      </c>
      <c r="W36" s="27">
        <v>8</v>
      </c>
      <c r="X36" s="27">
        <v>5</v>
      </c>
      <c r="Y36" s="27">
        <v>5</v>
      </c>
      <c r="Z36" s="27">
        <v>4</v>
      </c>
      <c r="AA36" s="27">
        <v>10</v>
      </c>
      <c r="AB36" s="27">
        <v>11</v>
      </c>
      <c r="AC36" s="25">
        <f t="shared" si="0"/>
        <v>172</v>
      </c>
    </row>
    <row r="37" spans="1:32" s="26" customFormat="1" x14ac:dyDescent="0.25">
      <c r="A37" s="26" t="s">
        <v>8</v>
      </c>
      <c r="C37" s="27">
        <v>6</v>
      </c>
      <c r="D37" s="27">
        <v>8</v>
      </c>
      <c r="E37" s="27">
        <v>5</v>
      </c>
      <c r="F37" s="27">
        <v>4</v>
      </c>
      <c r="G37" s="27">
        <v>4</v>
      </c>
      <c r="H37" s="27">
        <v>8</v>
      </c>
      <c r="I37" s="27">
        <v>3</v>
      </c>
      <c r="J37" s="27">
        <v>14</v>
      </c>
      <c r="K37" s="27">
        <v>14</v>
      </c>
      <c r="L37" s="27"/>
      <c r="M37" s="27">
        <v>11</v>
      </c>
      <c r="N37" s="27">
        <v>3</v>
      </c>
      <c r="O37" s="27">
        <v>8</v>
      </c>
      <c r="P37" s="27">
        <v>5</v>
      </c>
      <c r="Q37" s="27">
        <v>7</v>
      </c>
      <c r="R37" s="27">
        <v>20</v>
      </c>
      <c r="S37" s="27">
        <v>3</v>
      </c>
      <c r="T37" s="27">
        <v>10</v>
      </c>
      <c r="U37" s="27">
        <v>6</v>
      </c>
      <c r="V37" s="27">
        <v>7</v>
      </c>
      <c r="W37" s="27">
        <v>9</v>
      </c>
      <c r="X37" s="27">
        <v>13</v>
      </c>
      <c r="Y37" s="27">
        <v>21</v>
      </c>
      <c r="Z37" s="27">
        <v>7</v>
      </c>
      <c r="AA37" s="27">
        <v>4</v>
      </c>
      <c r="AB37" s="27">
        <v>2</v>
      </c>
      <c r="AC37" s="25">
        <f t="shared" si="0"/>
        <v>202</v>
      </c>
    </row>
    <row r="38" spans="1:32" s="26" customFormat="1" x14ac:dyDescent="0.25">
      <c r="A38" s="26" t="s">
        <v>10</v>
      </c>
      <c r="C38" s="27">
        <v>40</v>
      </c>
      <c r="D38" s="27">
        <v>44</v>
      </c>
      <c r="E38" s="27">
        <v>46</v>
      </c>
      <c r="F38" s="27">
        <v>20</v>
      </c>
      <c r="G38" s="27">
        <v>23</v>
      </c>
      <c r="H38" s="27">
        <v>52</v>
      </c>
      <c r="J38" s="27"/>
      <c r="K38" s="27"/>
      <c r="L38" s="27"/>
      <c r="M38" s="27"/>
      <c r="N38" s="27"/>
      <c r="O38" s="27"/>
      <c r="AC38" s="25">
        <f t="shared" si="0"/>
        <v>225</v>
      </c>
    </row>
    <row r="39" spans="1:32" s="26" customFormat="1" x14ac:dyDescent="0.25">
      <c r="A39" s="26" t="s">
        <v>11</v>
      </c>
      <c r="C39" s="27">
        <v>26</v>
      </c>
      <c r="D39" s="27">
        <v>26</v>
      </c>
      <c r="E39" s="27">
        <v>16</v>
      </c>
      <c r="F39" s="27">
        <v>30</v>
      </c>
      <c r="G39" s="27">
        <v>14</v>
      </c>
      <c r="H39" s="27">
        <v>24</v>
      </c>
      <c r="I39" s="27">
        <v>25</v>
      </c>
      <c r="J39" s="27">
        <v>38</v>
      </c>
      <c r="K39" s="27">
        <v>35</v>
      </c>
      <c r="L39" s="27"/>
      <c r="M39" s="27">
        <v>15</v>
      </c>
      <c r="N39" s="27"/>
      <c r="O39" s="27"/>
      <c r="AC39" s="25">
        <f t="shared" si="0"/>
        <v>249</v>
      </c>
    </row>
    <row r="40" spans="1:32" s="26" customFormat="1" x14ac:dyDescent="0.25"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AC40" s="25"/>
    </row>
    <row r="41" spans="1:32" s="26" customFormat="1" x14ac:dyDescent="0.25"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AC41" s="25"/>
    </row>
    <row r="43" spans="1:32" x14ac:dyDescent="0.25">
      <c r="A43" s="2" t="s">
        <v>16</v>
      </c>
      <c r="B43" s="2"/>
      <c r="C43" s="3">
        <v>1</v>
      </c>
      <c r="D43" s="3">
        <v>2</v>
      </c>
      <c r="E43" s="3">
        <v>3</v>
      </c>
      <c r="F43" s="3">
        <v>4</v>
      </c>
      <c r="G43" s="3">
        <v>5</v>
      </c>
      <c r="H43" s="3">
        <v>6</v>
      </c>
      <c r="N43" s="5"/>
      <c r="O43" s="6" t="s">
        <v>1</v>
      </c>
      <c r="P43" s="6" t="s">
        <v>7</v>
      </c>
      <c r="Q43" s="5"/>
      <c r="R43" s="180" t="s">
        <v>28</v>
      </c>
      <c r="S43" s="181"/>
      <c r="T43" s="181"/>
      <c r="U43" s="181"/>
      <c r="V43" s="181"/>
      <c r="W43" s="181"/>
      <c r="X43" s="182"/>
      <c r="AC43"/>
      <c r="AF43" s="1"/>
    </row>
    <row r="44" spans="1:32" x14ac:dyDescent="0.25">
      <c r="A44" t="s">
        <v>0</v>
      </c>
      <c r="C44" s="1">
        <v>22</v>
      </c>
      <c r="D44" s="1">
        <v>24</v>
      </c>
      <c r="E44" s="1">
        <v>16</v>
      </c>
      <c r="F44" s="1">
        <v>22</v>
      </c>
      <c r="G44" s="1">
        <v>8</v>
      </c>
      <c r="I44">
        <f>SUM(C44:H44)</f>
        <v>92</v>
      </c>
      <c r="K44" s="1">
        <f>I44+I45+I46+I47</f>
        <v>255</v>
      </c>
      <c r="N44" s="5"/>
      <c r="O44" s="6"/>
      <c r="P44" s="6"/>
      <c r="Q44" s="13" t="s">
        <v>22</v>
      </c>
      <c r="R44" s="21" t="s">
        <v>29</v>
      </c>
      <c r="S44" s="6" t="s">
        <v>18</v>
      </c>
      <c r="T44" s="6" t="s">
        <v>19</v>
      </c>
      <c r="U44" s="13" t="s">
        <v>24</v>
      </c>
      <c r="V44" s="13" t="s">
        <v>25</v>
      </c>
      <c r="W44" s="6" t="s">
        <v>26</v>
      </c>
      <c r="X44" s="6" t="s">
        <v>27</v>
      </c>
      <c r="AC44"/>
      <c r="AF44" s="1"/>
    </row>
    <row r="45" spans="1:32" x14ac:dyDescent="0.25">
      <c r="A45" t="s">
        <v>6</v>
      </c>
      <c r="C45" s="1">
        <v>6</v>
      </c>
      <c r="D45" s="1">
        <v>2</v>
      </c>
      <c r="E45" s="1">
        <v>30</v>
      </c>
      <c r="F45" s="1">
        <v>17</v>
      </c>
      <c r="G45" s="1">
        <v>28</v>
      </c>
      <c r="H45" s="1">
        <v>17</v>
      </c>
      <c r="I45">
        <f>SUM(C45:H45)</f>
        <v>100</v>
      </c>
      <c r="N45" s="5" t="s">
        <v>12</v>
      </c>
      <c r="O45" s="6">
        <f>G43+H43</f>
        <v>11</v>
      </c>
      <c r="P45" s="6">
        <f>I44+I45</f>
        <v>192</v>
      </c>
      <c r="Q45" s="18">
        <v>1</v>
      </c>
      <c r="R45" s="6">
        <f>I50+I51-O45</f>
        <v>151</v>
      </c>
      <c r="S45" s="9">
        <f>C56+C57</f>
        <v>153</v>
      </c>
      <c r="T45" s="9">
        <f>C62+C63</f>
        <v>150</v>
      </c>
      <c r="U45" s="14">
        <f>S45/R45</f>
        <v>1.0132450331125828</v>
      </c>
      <c r="V45" s="14">
        <f>T45/R45</f>
        <v>0.99337748344370858</v>
      </c>
      <c r="W45" s="5">
        <f>(S45+T45)/2</f>
        <v>151.5</v>
      </c>
      <c r="X45" s="23">
        <f>W45/R45</f>
        <v>1.0033112582781456</v>
      </c>
      <c r="AC45"/>
      <c r="AF45" s="1"/>
    </row>
    <row r="46" spans="1:32" x14ac:dyDescent="0.25">
      <c r="A46" t="s">
        <v>5</v>
      </c>
      <c r="C46" s="1">
        <v>4</v>
      </c>
      <c r="D46" s="1">
        <v>8</v>
      </c>
      <c r="E46" s="1">
        <v>14</v>
      </c>
      <c r="F46" s="1">
        <v>5</v>
      </c>
      <c r="G46" s="1">
        <v>5</v>
      </c>
      <c r="I46" s="11">
        <f>SUM(C46:H46)</f>
        <v>36</v>
      </c>
      <c r="N46" s="5"/>
      <c r="O46" s="6"/>
      <c r="P46" s="6"/>
      <c r="Q46" s="19"/>
      <c r="R46" s="6"/>
      <c r="S46" s="9"/>
      <c r="T46" s="9"/>
      <c r="U46" s="14"/>
      <c r="V46" s="14"/>
      <c r="W46" s="5"/>
      <c r="X46" s="23"/>
      <c r="AC46"/>
      <c r="AF46" s="1"/>
    </row>
    <row r="47" spans="1:32" x14ac:dyDescent="0.25">
      <c r="A47" t="s">
        <v>8</v>
      </c>
      <c r="C47" s="1">
        <v>6</v>
      </c>
      <c r="D47" s="1">
        <v>8</v>
      </c>
      <c r="E47" s="1">
        <v>5</v>
      </c>
      <c r="F47" s="1">
        <v>4</v>
      </c>
      <c r="G47" s="1">
        <v>4</v>
      </c>
      <c r="I47" s="11">
        <f>SUM(C47:H47)</f>
        <v>27</v>
      </c>
      <c r="N47" s="5" t="s">
        <v>13</v>
      </c>
      <c r="O47" s="6">
        <f>G43+G43</f>
        <v>10</v>
      </c>
      <c r="P47" s="6">
        <f>I46+I47</f>
        <v>63</v>
      </c>
      <c r="Q47" s="19">
        <f>P47/O47</f>
        <v>6.3</v>
      </c>
      <c r="R47" s="6">
        <f>I52+I53-O47</f>
        <v>58</v>
      </c>
      <c r="S47" s="9">
        <f>C58+C59</f>
        <v>75</v>
      </c>
      <c r="T47" s="9">
        <f>C64+C65</f>
        <v>71</v>
      </c>
      <c r="U47" s="14">
        <f>S47/R47</f>
        <v>1.2931034482758621</v>
      </c>
      <c r="V47" s="14">
        <f>T47/R47</f>
        <v>1.2241379310344827</v>
      </c>
      <c r="W47" s="5">
        <f>(S47+T47)/2</f>
        <v>73</v>
      </c>
      <c r="X47" s="23">
        <f>W47/R47</f>
        <v>1.2586206896551724</v>
      </c>
      <c r="AC47"/>
      <c r="AF47" s="1"/>
    </row>
    <row r="48" spans="1:32" x14ac:dyDescent="0.25">
      <c r="N48" s="5"/>
      <c r="O48" s="6"/>
      <c r="P48" s="6"/>
      <c r="Q48" s="19"/>
      <c r="R48" s="6"/>
      <c r="S48" s="7"/>
      <c r="T48" s="9"/>
      <c r="U48" s="14"/>
      <c r="V48" s="14"/>
      <c r="W48" s="5"/>
      <c r="X48" s="23"/>
      <c r="Z48" s="1"/>
      <c r="AC48"/>
    </row>
    <row r="49" spans="1:29" x14ac:dyDescent="0.25">
      <c r="A49" s="2" t="s">
        <v>17</v>
      </c>
      <c r="B49" s="2"/>
      <c r="C49" s="3">
        <v>1</v>
      </c>
      <c r="D49" s="3">
        <v>2</v>
      </c>
      <c r="E49" s="3">
        <v>3</v>
      </c>
      <c r="F49" s="3">
        <v>4</v>
      </c>
      <c r="G49" s="3">
        <v>5</v>
      </c>
      <c r="H49" s="3">
        <v>6</v>
      </c>
      <c r="N49" s="16" t="s">
        <v>15</v>
      </c>
      <c r="O49" s="17">
        <f>SUM(O45:O48)</f>
        <v>21</v>
      </c>
      <c r="P49" s="17">
        <f>SUM(P45:P48)</f>
        <v>255</v>
      </c>
      <c r="Q49" s="15">
        <f>P49/O49</f>
        <v>12.142857142857142</v>
      </c>
      <c r="R49" s="17">
        <f>SUM(R45:R48)</f>
        <v>209</v>
      </c>
      <c r="S49" s="17">
        <f>SUM(S45:S48)</f>
        <v>228</v>
      </c>
      <c r="T49" s="17">
        <f>SUM(T45:T48)</f>
        <v>221</v>
      </c>
      <c r="U49" s="14">
        <f>S49/R49</f>
        <v>1.0909090909090908</v>
      </c>
      <c r="V49" s="14">
        <f>T49/R49</f>
        <v>1.0574162679425838</v>
      </c>
      <c r="W49" s="5">
        <f>(S49+T49)/2</f>
        <v>224.5</v>
      </c>
      <c r="X49" s="22">
        <f>W49/R49</f>
        <v>1.0741626794258374</v>
      </c>
      <c r="AC49"/>
    </row>
    <row r="50" spans="1:29" x14ac:dyDescent="0.25">
      <c r="A50" t="s">
        <v>0</v>
      </c>
      <c r="C50" s="1">
        <v>18</v>
      </c>
      <c r="D50" s="1">
        <v>22</v>
      </c>
      <c r="E50" s="1">
        <v>12</v>
      </c>
      <c r="F50" s="1">
        <v>18</v>
      </c>
      <c r="G50" s="1">
        <v>6</v>
      </c>
      <c r="I50">
        <f>SUM(C50:H50)</f>
        <v>76</v>
      </c>
      <c r="K50" s="1">
        <f>I50+I51+I52+I53</f>
        <v>230</v>
      </c>
      <c r="N50"/>
      <c r="O50"/>
      <c r="R50" t="s">
        <v>30</v>
      </c>
      <c r="W50" s="1"/>
      <c r="AC50"/>
    </row>
    <row r="51" spans="1:29" x14ac:dyDescent="0.25">
      <c r="A51" t="s">
        <v>6</v>
      </c>
      <c r="C51" s="1">
        <v>7</v>
      </c>
      <c r="D51" s="1">
        <v>2</v>
      </c>
      <c r="E51" s="1">
        <v>26</v>
      </c>
      <c r="F51" s="1">
        <v>14</v>
      </c>
      <c r="G51" s="1">
        <v>26</v>
      </c>
      <c r="H51" s="1">
        <v>11</v>
      </c>
      <c r="I51">
        <f>SUM(C51:H51)</f>
        <v>86</v>
      </c>
      <c r="N51"/>
      <c r="O51"/>
      <c r="W51" s="1"/>
    </row>
    <row r="52" spans="1:29" x14ac:dyDescent="0.25">
      <c r="A52" t="s">
        <v>5</v>
      </c>
      <c r="C52" s="1">
        <v>5</v>
      </c>
      <c r="D52" s="1">
        <v>8</v>
      </c>
      <c r="E52" s="1">
        <v>13</v>
      </c>
      <c r="F52" s="1">
        <v>4</v>
      </c>
      <c r="G52" s="1">
        <v>5</v>
      </c>
      <c r="I52">
        <f>SUM(C52:H52)</f>
        <v>35</v>
      </c>
    </row>
    <row r="53" spans="1:29" x14ac:dyDescent="0.25">
      <c r="A53" t="s">
        <v>8</v>
      </c>
      <c r="C53" s="1">
        <v>6</v>
      </c>
      <c r="D53" s="1">
        <v>8</v>
      </c>
      <c r="E53" s="1">
        <v>7</v>
      </c>
      <c r="F53" s="1">
        <v>8</v>
      </c>
      <c r="G53" s="1">
        <v>4</v>
      </c>
      <c r="I53">
        <f>SUM(C53:H53)</f>
        <v>33</v>
      </c>
    </row>
    <row r="55" spans="1:29" x14ac:dyDescent="0.25">
      <c r="A55" s="2" t="s">
        <v>20</v>
      </c>
      <c r="B55" s="2"/>
      <c r="C55"/>
      <c r="H55" s="1"/>
      <c r="J55"/>
      <c r="K55"/>
      <c r="L55"/>
      <c r="M55"/>
      <c r="AC55"/>
    </row>
    <row r="56" spans="1:29" x14ac:dyDescent="0.25">
      <c r="A56" t="s">
        <v>0</v>
      </c>
      <c r="C56" s="1">
        <v>73</v>
      </c>
      <c r="E56" s="1">
        <f>C56+C57+C58+C59</f>
        <v>228</v>
      </c>
      <c r="H56" s="1"/>
      <c r="J56"/>
      <c r="K56"/>
      <c r="L56"/>
      <c r="M56"/>
      <c r="N56"/>
      <c r="O56"/>
      <c r="W56" s="1"/>
      <c r="AC56"/>
    </row>
    <row r="57" spans="1:29" x14ac:dyDescent="0.25">
      <c r="A57" t="s">
        <v>6</v>
      </c>
      <c r="C57" s="1">
        <v>80</v>
      </c>
      <c r="H57" s="1"/>
      <c r="J57"/>
      <c r="K57"/>
      <c r="L57"/>
      <c r="M57"/>
      <c r="N57"/>
      <c r="O57"/>
      <c r="W57" s="1"/>
      <c r="AC57"/>
    </row>
    <row r="58" spans="1:29" x14ac:dyDescent="0.25">
      <c r="A58" t="s">
        <v>5</v>
      </c>
      <c r="C58" s="1">
        <v>36</v>
      </c>
      <c r="H58" s="1"/>
      <c r="J58"/>
      <c r="K58"/>
      <c r="L58"/>
      <c r="M58"/>
      <c r="N58"/>
      <c r="O58"/>
      <c r="W58" s="1"/>
      <c r="AC58"/>
    </row>
    <row r="59" spans="1:29" x14ac:dyDescent="0.25">
      <c r="A59" t="s">
        <v>8</v>
      </c>
      <c r="C59" s="1">
        <v>39</v>
      </c>
      <c r="H59" s="1"/>
      <c r="J59"/>
      <c r="K59"/>
      <c r="L59"/>
      <c r="M59"/>
      <c r="N59"/>
      <c r="O59"/>
      <c r="W59" s="1"/>
      <c r="AC59"/>
    </row>
    <row r="60" spans="1:29" x14ac:dyDescent="0.25">
      <c r="H60" s="1"/>
      <c r="J60"/>
      <c r="K60"/>
      <c r="L60"/>
      <c r="M60"/>
      <c r="N60"/>
      <c r="O60"/>
      <c r="W60" s="1"/>
      <c r="AC60"/>
    </row>
    <row r="61" spans="1:29" x14ac:dyDescent="0.25">
      <c r="A61" s="2" t="s">
        <v>21</v>
      </c>
      <c r="B61" s="2"/>
      <c r="H61" s="1"/>
      <c r="J61"/>
      <c r="K61"/>
      <c r="L61"/>
      <c r="M61"/>
      <c r="N61"/>
      <c r="O61"/>
      <c r="W61" s="1"/>
      <c r="AC61"/>
    </row>
    <row r="62" spans="1:29" x14ac:dyDescent="0.25">
      <c r="A62" t="s">
        <v>0</v>
      </c>
      <c r="C62" s="1">
        <v>72</v>
      </c>
      <c r="E62" s="1">
        <f>C62+C63+C64+C65</f>
        <v>221</v>
      </c>
      <c r="H62" s="1"/>
      <c r="J62"/>
      <c r="K62"/>
      <c r="L62"/>
      <c r="M62"/>
      <c r="N62"/>
      <c r="O62"/>
      <c r="W62" s="1"/>
      <c r="AC62"/>
    </row>
    <row r="63" spans="1:29" x14ac:dyDescent="0.25">
      <c r="A63" t="s">
        <v>6</v>
      </c>
      <c r="C63" s="1">
        <v>78</v>
      </c>
      <c r="H63" s="1"/>
      <c r="J63"/>
      <c r="K63"/>
      <c r="L63"/>
      <c r="M63"/>
      <c r="N63"/>
      <c r="O63"/>
      <c r="W63" s="1"/>
      <c r="AC63"/>
    </row>
    <row r="64" spans="1:29" x14ac:dyDescent="0.25">
      <c r="A64" t="s">
        <v>5</v>
      </c>
      <c r="C64" s="1">
        <v>35</v>
      </c>
      <c r="H64" s="1"/>
      <c r="J64"/>
      <c r="K64"/>
      <c r="L64"/>
      <c r="M64"/>
      <c r="N64"/>
      <c r="O64"/>
      <c r="W64" s="1"/>
      <c r="AC64"/>
    </row>
    <row r="65" spans="1:29" x14ac:dyDescent="0.25">
      <c r="A65" t="s">
        <v>8</v>
      </c>
      <c r="C65" s="1">
        <v>36</v>
      </c>
      <c r="H65" s="1"/>
      <c r="J65"/>
      <c r="K65"/>
      <c r="L65"/>
      <c r="M65"/>
      <c r="N65"/>
      <c r="O65"/>
      <c r="W65" s="1"/>
      <c r="AC65"/>
    </row>
    <row r="66" spans="1:29" x14ac:dyDescent="0.25">
      <c r="N66"/>
      <c r="O66"/>
      <c r="W66" s="1"/>
    </row>
  </sheetData>
  <mergeCells count="1">
    <mergeCell ref="R43:X43"/>
  </mergeCells>
  <hyperlinks>
    <hyperlink ref="B4" r:id="rId1" xr:uid="{108D79F5-BBB8-4EDB-8190-6524A2254E59}"/>
  </hyperlinks>
  <pageMargins left="0.7" right="0.7" top="0.78740157499999996" bottom="0.78740157499999996" header="0.3" footer="0.3"/>
  <pageSetup paperSize="9"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tabSelected="1" topLeftCell="A12" workbookViewId="0">
      <selection activeCell="I20" sqref="I20"/>
    </sheetView>
  </sheetViews>
  <sheetFormatPr defaultRowHeight="15" x14ac:dyDescent="0.25"/>
  <cols>
    <col min="1" max="1" width="27.85546875" customWidth="1"/>
    <col min="2" max="2" width="12.140625" customWidth="1"/>
  </cols>
  <sheetData>
    <row r="1" spans="1:29" ht="17.25" x14ac:dyDescent="0.3">
      <c r="A1" s="31" t="s">
        <v>38</v>
      </c>
      <c r="B1" s="31"/>
      <c r="C1" s="32"/>
      <c r="D1" s="32"/>
      <c r="E1" s="32"/>
      <c r="F1" s="32"/>
      <c r="G1" s="32"/>
      <c r="H1" s="33"/>
      <c r="I1" s="33"/>
      <c r="J1" s="32"/>
      <c r="K1" s="32"/>
      <c r="L1" s="32"/>
      <c r="M1" s="32"/>
      <c r="N1" s="32"/>
      <c r="O1" s="32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C1" s="1"/>
    </row>
    <row r="2" spans="1:29" x14ac:dyDescent="0.25">
      <c r="A2" t="s">
        <v>52</v>
      </c>
    </row>
    <row r="4" spans="1:29" x14ac:dyDescent="0.25">
      <c r="A4" t="s">
        <v>353</v>
      </c>
      <c r="B4" t="s">
        <v>354</v>
      </c>
    </row>
    <row r="6" spans="1:29" x14ac:dyDescent="0.25">
      <c r="A6" s="46" t="s">
        <v>81</v>
      </c>
      <c r="B6" s="47"/>
      <c r="C6" s="47"/>
      <c r="D6" s="47"/>
      <c r="E6" s="47"/>
      <c r="F6" s="47"/>
      <c r="G6" s="47"/>
      <c r="H6" s="47"/>
      <c r="J6" s="46" t="s">
        <v>56</v>
      </c>
      <c r="K6" s="46" t="s">
        <v>65</v>
      </c>
      <c r="L6" s="47"/>
      <c r="M6" s="47"/>
      <c r="N6" s="47"/>
      <c r="O6" s="47"/>
      <c r="P6" s="47"/>
      <c r="Q6" s="47"/>
    </row>
    <row r="7" spans="1:29" x14ac:dyDescent="0.25">
      <c r="A7" s="2" t="s">
        <v>71</v>
      </c>
      <c r="C7" s="1"/>
      <c r="D7" s="1"/>
      <c r="E7" s="1"/>
      <c r="F7" s="1"/>
      <c r="G7" s="1"/>
      <c r="H7" s="2"/>
      <c r="J7" s="2" t="s">
        <v>71</v>
      </c>
      <c r="K7" s="2"/>
      <c r="M7" s="1"/>
      <c r="N7" s="1"/>
      <c r="O7" s="1"/>
      <c r="AC7" s="1"/>
    </row>
    <row r="8" spans="1:29" x14ac:dyDescent="0.25">
      <c r="A8" s="48" t="s">
        <v>40</v>
      </c>
      <c r="B8" s="30"/>
      <c r="C8" s="30" t="s">
        <v>73</v>
      </c>
      <c r="D8" s="1"/>
      <c r="E8" s="30"/>
      <c r="F8" s="30"/>
      <c r="G8" s="30"/>
      <c r="J8" s="48" t="s">
        <v>40</v>
      </c>
      <c r="K8" s="48"/>
      <c r="M8" t="s">
        <v>57</v>
      </c>
      <c r="N8" s="1"/>
      <c r="O8" s="1"/>
      <c r="AC8" s="1"/>
    </row>
    <row r="9" spans="1:29" x14ac:dyDescent="0.25">
      <c r="A9" s="48"/>
      <c r="B9" s="30"/>
      <c r="C9" s="30" t="s">
        <v>41</v>
      </c>
      <c r="D9" s="1"/>
      <c r="E9" s="30"/>
      <c r="F9" s="30"/>
      <c r="G9" s="30"/>
      <c r="J9" s="2"/>
      <c r="K9" s="2"/>
      <c r="M9" t="s">
        <v>41</v>
      </c>
      <c r="N9" s="1"/>
      <c r="O9" s="1"/>
      <c r="AC9" s="1"/>
    </row>
    <row r="10" spans="1:29" x14ac:dyDescent="0.25">
      <c r="A10" s="48"/>
      <c r="B10" s="30"/>
      <c r="C10" s="30" t="s">
        <v>42</v>
      </c>
      <c r="D10" s="1"/>
      <c r="E10" s="30"/>
      <c r="F10" s="30"/>
      <c r="G10" s="30"/>
      <c r="J10" s="2"/>
      <c r="K10" s="2"/>
      <c r="M10" s="30" t="s">
        <v>42</v>
      </c>
      <c r="N10" s="1"/>
      <c r="O10" s="1"/>
      <c r="AC10" s="1"/>
    </row>
    <row r="11" spans="1:29" x14ac:dyDescent="0.25">
      <c r="A11" s="48" t="s">
        <v>43</v>
      </c>
      <c r="B11" s="30"/>
      <c r="C11" s="197" t="s">
        <v>356</v>
      </c>
      <c r="D11" s="1"/>
      <c r="E11" s="30"/>
      <c r="F11" s="30"/>
      <c r="G11" s="30"/>
      <c r="H11" s="30"/>
      <c r="I11" s="30"/>
      <c r="J11" s="48" t="s">
        <v>43</v>
      </c>
      <c r="K11" s="48"/>
      <c r="M11" s="30" t="s">
        <v>44</v>
      </c>
      <c r="N11" s="1"/>
      <c r="O11" s="1"/>
      <c r="AC11" s="1"/>
    </row>
    <row r="12" spans="1:29" ht="15.75" customHeight="1" x14ac:dyDescent="0.25">
      <c r="A12" s="48" t="s">
        <v>58</v>
      </c>
      <c r="B12" s="30"/>
      <c r="C12" s="30" t="s">
        <v>59</v>
      </c>
      <c r="D12" s="1"/>
      <c r="E12" s="30"/>
      <c r="F12" s="30"/>
      <c r="G12" s="30"/>
      <c r="H12" s="30"/>
      <c r="I12" s="30"/>
      <c r="J12" s="48" t="s">
        <v>58</v>
      </c>
      <c r="K12" s="48"/>
      <c r="M12" s="30" t="s">
        <v>59</v>
      </c>
      <c r="N12" s="1"/>
      <c r="O12" s="1"/>
      <c r="AC12" s="1"/>
    </row>
    <row r="13" spans="1:29" x14ac:dyDescent="0.25">
      <c r="A13" s="48" t="s">
        <v>75</v>
      </c>
      <c r="B13" s="30"/>
      <c r="C13" s="34" t="s">
        <v>78</v>
      </c>
      <c r="D13" s="1"/>
      <c r="E13" s="30"/>
      <c r="F13" s="30"/>
      <c r="G13" s="30"/>
      <c r="H13" s="30"/>
      <c r="I13" s="30"/>
      <c r="J13" s="48" t="s">
        <v>75</v>
      </c>
      <c r="K13" s="48"/>
      <c r="M13" s="30" t="s">
        <v>62</v>
      </c>
      <c r="N13" s="30"/>
      <c r="O13" s="1"/>
      <c r="AC13" s="1"/>
    </row>
    <row r="14" spans="1:29" x14ac:dyDescent="0.25">
      <c r="A14" s="48" t="s">
        <v>48</v>
      </c>
      <c r="B14" s="30"/>
      <c r="C14" s="30" t="s">
        <v>49</v>
      </c>
      <c r="D14" s="1"/>
      <c r="E14" s="30"/>
      <c r="F14" s="30"/>
      <c r="G14" s="30"/>
      <c r="H14" s="30"/>
      <c r="J14" s="48" t="s">
        <v>48</v>
      </c>
      <c r="K14" s="48"/>
      <c r="N14" s="1"/>
      <c r="O14" s="1"/>
      <c r="AC14" s="1"/>
    </row>
    <row r="15" spans="1:29" x14ac:dyDescent="0.25">
      <c r="A15" s="48"/>
      <c r="B15" s="30"/>
      <c r="C15" s="30" t="s">
        <v>64</v>
      </c>
      <c r="D15" s="1"/>
      <c r="E15" s="30"/>
      <c r="F15" s="30"/>
      <c r="G15" s="30"/>
      <c r="H15" s="30"/>
      <c r="J15" s="48"/>
      <c r="K15" s="48"/>
      <c r="N15" s="1"/>
      <c r="O15" s="1"/>
      <c r="AC15" s="1"/>
    </row>
    <row r="16" spans="1:29" x14ac:dyDescent="0.25">
      <c r="A16" s="48" t="s">
        <v>350</v>
      </c>
      <c r="C16" s="30" t="s">
        <v>62</v>
      </c>
      <c r="D16" s="45" t="s">
        <v>68</v>
      </c>
      <c r="F16" s="30"/>
      <c r="G16" s="30"/>
      <c r="H16" s="30"/>
      <c r="J16" s="48" t="s">
        <v>61</v>
      </c>
      <c r="K16" s="48"/>
      <c r="M16" t="s">
        <v>62</v>
      </c>
      <c r="N16" s="12" t="s">
        <v>69</v>
      </c>
      <c r="O16" s="1"/>
      <c r="AC16" s="1"/>
    </row>
    <row r="17" spans="1:29" x14ac:dyDescent="0.25">
      <c r="A17" s="30"/>
      <c r="B17" s="30"/>
      <c r="C17" s="30" t="s">
        <v>63</v>
      </c>
      <c r="D17" s="34" t="s">
        <v>53</v>
      </c>
      <c r="E17" s="30"/>
      <c r="F17" s="30"/>
      <c r="G17" s="30"/>
      <c r="H17" s="30"/>
      <c r="J17" s="30"/>
      <c r="K17" s="30"/>
      <c r="M17" t="s">
        <v>63</v>
      </c>
      <c r="N17" s="12" t="s">
        <v>70</v>
      </c>
      <c r="O17" s="1"/>
      <c r="AC17" s="1"/>
    </row>
    <row r="18" spans="1:29" x14ac:dyDescent="0.25">
      <c r="A18" s="30"/>
      <c r="B18" s="30"/>
      <c r="C18" s="30"/>
      <c r="D18" s="34"/>
      <c r="E18" s="30"/>
      <c r="F18" s="30"/>
      <c r="G18" s="30"/>
      <c r="O18" s="1"/>
      <c r="AC18" s="1"/>
    </row>
    <row r="19" spans="1:29" x14ac:dyDescent="0.25">
      <c r="A19" s="2" t="s">
        <v>72</v>
      </c>
      <c r="C19" s="30" t="s">
        <v>47</v>
      </c>
      <c r="D19" s="1"/>
      <c r="E19" s="30"/>
      <c r="F19" s="30"/>
      <c r="G19" s="30"/>
      <c r="H19" s="2"/>
      <c r="J19" s="2" t="s">
        <v>72</v>
      </c>
      <c r="K19" s="2"/>
      <c r="M19" s="43" t="s">
        <v>60</v>
      </c>
      <c r="N19" s="1"/>
      <c r="O19" s="1"/>
      <c r="AC19" s="1"/>
    </row>
    <row r="20" spans="1:29" x14ac:dyDescent="0.25">
      <c r="A20" s="2"/>
      <c r="C20" s="34" t="s">
        <v>77</v>
      </c>
      <c r="D20" s="1"/>
      <c r="E20" s="30"/>
      <c r="F20" s="30"/>
      <c r="G20" s="30"/>
      <c r="H20" s="2"/>
      <c r="J20" s="2"/>
      <c r="K20" s="2"/>
      <c r="L20" s="43"/>
      <c r="M20" s="1"/>
      <c r="N20" s="1"/>
      <c r="O20" s="1"/>
      <c r="AC20" s="1"/>
    </row>
    <row r="21" spans="1:29" x14ac:dyDescent="0.25">
      <c r="A21" s="30"/>
      <c r="B21" s="30"/>
      <c r="C21" s="30"/>
      <c r="D21" s="1"/>
      <c r="E21" s="30"/>
      <c r="F21" s="30"/>
      <c r="G21" s="30"/>
      <c r="H21" s="30"/>
      <c r="M21" s="1"/>
      <c r="N21" s="1"/>
      <c r="O21" s="1"/>
      <c r="AC21" s="1"/>
    </row>
    <row r="22" spans="1:29" x14ac:dyDescent="0.25">
      <c r="A22" s="48" t="s">
        <v>51</v>
      </c>
      <c r="B22" s="30"/>
      <c r="C22" s="30" t="s">
        <v>54</v>
      </c>
      <c r="D22" s="1"/>
      <c r="E22" s="30"/>
      <c r="F22" s="30"/>
      <c r="G22" s="30"/>
      <c r="H22" s="30"/>
      <c r="J22" s="30"/>
      <c r="K22" s="30"/>
      <c r="M22" s="1"/>
      <c r="N22" s="1"/>
      <c r="O22" s="1"/>
      <c r="AC22" s="1"/>
    </row>
    <row r="24" spans="1:29" x14ac:dyDescent="0.25">
      <c r="G24" s="183" t="s">
        <v>311</v>
      </c>
      <c r="H24" s="183"/>
      <c r="I24" s="183"/>
      <c r="J24" s="183"/>
    </row>
    <row r="25" spans="1:29" ht="25.5" x14ac:dyDescent="0.25">
      <c r="A25" s="29"/>
      <c r="B25" s="29"/>
      <c r="C25" s="35" t="s">
        <v>50</v>
      </c>
      <c r="D25" s="35" t="s">
        <v>1</v>
      </c>
      <c r="E25" s="35" t="s">
        <v>7</v>
      </c>
      <c r="F25" s="35" t="s">
        <v>2</v>
      </c>
      <c r="G25" s="35" t="s">
        <v>87</v>
      </c>
      <c r="H25" s="35" t="s">
        <v>88</v>
      </c>
      <c r="I25" s="35" t="s">
        <v>90</v>
      </c>
      <c r="J25" s="35" t="s">
        <v>89</v>
      </c>
    </row>
    <row r="26" spans="1:29" x14ac:dyDescent="0.25">
      <c r="A26" s="5" t="s">
        <v>31</v>
      </c>
      <c r="B26" s="5" t="s">
        <v>83</v>
      </c>
      <c r="C26" s="5" t="s">
        <v>32</v>
      </c>
      <c r="D26" s="5">
        <v>28</v>
      </c>
      <c r="E26" s="5">
        <v>550</v>
      </c>
      <c r="F26" s="6"/>
      <c r="G26" s="6">
        <v>439</v>
      </c>
      <c r="H26" s="6">
        <v>413</v>
      </c>
      <c r="I26" s="6">
        <v>405</v>
      </c>
      <c r="J26" s="6">
        <v>493</v>
      </c>
    </row>
    <row r="27" spans="1:29" x14ac:dyDescent="0.25">
      <c r="A27" s="5" t="s">
        <v>33</v>
      </c>
      <c r="B27" s="5" t="s">
        <v>82</v>
      </c>
      <c r="C27" s="5" t="s">
        <v>34</v>
      </c>
      <c r="D27" s="5">
        <v>43</v>
      </c>
      <c r="E27" s="42">
        <v>653</v>
      </c>
      <c r="F27" s="6"/>
      <c r="G27" s="6">
        <v>556</v>
      </c>
      <c r="H27" s="6">
        <v>497</v>
      </c>
      <c r="I27" s="6">
        <v>481</v>
      </c>
      <c r="J27" s="6">
        <v>515</v>
      </c>
    </row>
    <row r="28" spans="1:29" x14ac:dyDescent="0.25">
      <c r="A28" s="5" t="s">
        <v>79</v>
      </c>
      <c r="B28" s="5" t="s">
        <v>84</v>
      </c>
      <c r="C28" s="5" t="s">
        <v>34</v>
      </c>
      <c r="D28" s="5">
        <v>25</v>
      </c>
      <c r="E28" s="42">
        <v>399</v>
      </c>
      <c r="F28" s="6"/>
      <c r="G28" s="6">
        <v>339</v>
      </c>
      <c r="H28" s="6">
        <v>277</v>
      </c>
      <c r="I28" s="6">
        <v>273</v>
      </c>
      <c r="J28" s="6">
        <v>285</v>
      </c>
      <c r="K28" s="12" t="s">
        <v>355</v>
      </c>
    </row>
    <row r="29" spans="1:29" x14ac:dyDescent="0.25">
      <c r="A29" s="5" t="s">
        <v>35</v>
      </c>
      <c r="B29" s="5" t="s">
        <v>85</v>
      </c>
      <c r="C29" s="5" t="s">
        <v>32</v>
      </c>
      <c r="D29" s="5">
        <v>24</v>
      </c>
      <c r="E29" s="42">
        <v>592</v>
      </c>
      <c r="F29" s="6"/>
      <c r="G29" s="6">
        <v>467</v>
      </c>
      <c r="H29" s="6">
        <v>405</v>
      </c>
      <c r="I29" s="6">
        <v>403</v>
      </c>
      <c r="J29" s="6">
        <v>381</v>
      </c>
    </row>
    <row r="30" spans="1:29" x14ac:dyDescent="0.25">
      <c r="A30" s="42" t="s">
        <v>36</v>
      </c>
      <c r="B30" s="42"/>
      <c r="C30" s="42" t="s">
        <v>55</v>
      </c>
      <c r="D30" s="42">
        <v>100</v>
      </c>
      <c r="E30" s="5"/>
      <c r="F30" s="6" t="s">
        <v>66</v>
      </c>
      <c r="G30" s="6"/>
      <c r="H30" s="6"/>
      <c r="I30" s="6"/>
      <c r="J30" s="6"/>
    </row>
    <row r="31" spans="1:29" x14ac:dyDescent="0.25">
      <c r="A31" s="16" t="s">
        <v>37</v>
      </c>
      <c r="B31" s="16"/>
      <c r="C31" s="16"/>
      <c r="D31" s="16">
        <f>SUM(D26:D30)</f>
        <v>220</v>
      </c>
      <c r="E31" s="41">
        <v>4048</v>
      </c>
      <c r="F31" s="16"/>
      <c r="G31" s="16"/>
      <c r="H31" s="16"/>
      <c r="I31" s="16"/>
      <c r="J31" s="16"/>
    </row>
    <row r="32" spans="1:29" x14ac:dyDescent="0.25">
      <c r="A32" s="5" t="s">
        <v>86</v>
      </c>
      <c r="B32" s="5"/>
      <c r="C32" s="5"/>
      <c r="D32" s="5">
        <f>SUM(D26:D29)</f>
        <v>120</v>
      </c>
      <c r="E32" s="49">
        <f>SUM(E26:E29)</f>
        <v>2194</v>
      </c>
      <c r="F32" s="5"/>
      <c r="G32" s="16">
        <f>SUM(G26:G30)</f>
        <v>1801</v>
      </c>
      <c r="H32" s="16">
        <f>SUM(H26:H30)</f>
        <v>1592</v>
      </c>
      <c r="I32" s="16">
        <f>SUM(I26:I30)</f>
        <v>1562</v>
      </c>
      <c r="J32" s="16">
        <f>SUM(J26:J30)</f>
        <v>1674</v>
      </c>
    </row>
    <row r="39" spans="1:3" s="30" customFormat="1" x14ac:dyDescent="0.25">
      <c r="A39"/>
      <c r="B39"/>
      <c r="C39"/>
    </row>
  </sheetData>
  <mergeCells count="1">
    <mergeCell ref="G24:J24"/>
  </mergeCells>
  <pageMargins left="0.7" right="0.7" top="0.78740157499999996" bottom="0.78740157499999996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86"/>
  <sheetViews>
    <sheetView topLeftCell="B1" workbookViewId="0">
      <selection activeCell="S14" sqref="S14"/>
    </sheetView>
  </sheetViews>
  <sheetFormatPr defaultRowHeight="15" x14ac:dyDescent="0.25"/>
  <cols>
    <col min="1" max="1" width="55.85546875" customWidth="1"/>
    <col min="2" max="11" width="10.7109375" customWidth="1"/>
    <col min="12" max="12" width="9.140625" customWidth="1"/>
  </cols>
  <sheetData>
    <row r="1" spans="1:19" x14ac:dyDescent="0.25">
      <c r="A1" s="50" t="s">
        <v>189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</row>
    <row r="2" spans="1:19" x14ac:dyDescent="0.25">
      <c r="B2" s="188" t="s">
        <v>91</v>
      </c>
      <c r="C2" s="188"/>
      <c r="D2" s="188"/>
      <c r="E2" s="189" t="s">
        <v>92</v>
      </c>
      <c r="F2" s="189"/>
      <c r="G2" s="189"/>
      <c r="H2" s="136"/>
      <c r="I2" s="194" t="s">
        <v>93</v>
      </c>
      <c r="J2" s="194"/>
      <c r="K2" s="194"/>
      <c r="L2" s="85"/>
      <c r="M2" s="186" t="s">
        <v>201</v>
      </c>
      <c r="N2" s="186"/>
      <c r="O2" s="186"/>
      <c r="P2" s="187" t="s">
        <v>260</v>
      </c>
      <c r="Q2" s="187"/>
      <c r="R2" s="187"/>
    </row>
    <row r="3" spans="1:19" x14ac:dyDescent="0.25">
      <c r="B3" s="95" t="s">
        <v>95</v>
      </c>
      <c r="C3" s="95" t="s">
        <v>96</v>
      </c>
      <c r="D3" s="96" t="s">
        <v>97</v>
      </c>
      <c r="E3" s="97" t="s">
        <v>95</v>
      </c>
      <c r="F3" s="97" t="s">
        <v>96</v>
      </c>
      <c r="G3" s="98" t="s">
        <v>97</v>
      </c>
      <c r="H3" s="136"/>
      <c r="I3" s="99" t="s">
        <v>95</v>
      </c>
      <c r="J3" s="99" t="s">
        <v>96</v>
      </c>
      <c r="K3" s="100" t="s">
        <v>97</v>
      </c>
      <c r="L3" s="85"/>
      <c r="M3" s="101" t="s">
        <v>95</v>
      </c>
      <c r="N3" s="101" t="s">
        <v>96</v>
      </c>
      <c r="O3" s="102" t="s">
        <v>97</v>
      </c>
      <c r="P3" s="101" t="s">
        <v>95</v>
      </c>
      <c r="Q3" s="101" t="s">
        <v>96</v>
      </c>
      <c r="R3" s="102" t="s">
        <v>97</v>
      </c>
    </row>
    <row r="4" spans="1:19" x14ac:dyDescent="0.25">
      <c r="A4" s="103" t="s">
        <v>98</v>
      </c>
      <c r="B4" s="78">
        <v>31.5</v>
      </c>
      <c r="C4" s="79">
        <v>72.540000000000006</v>
      </c>
      <c r="D4" s="80">
        <v>43.92</v>
      </c>
      <c r="E4" s="81">
        <v>32.11</v>
      </c>
      <c r="F4" s="81">
        <v>58.33</v>
      </c>
      <c r="G4" s="82">
        <v>41.42</v>
      </c>
      <c r="H4" s="104"/>
      <c r="I4" s="83">
        <v>85.63</v>
      </c>
      <c r="J4" s="83">
        <v>76.92</v>
      </c>
      <c r="K4" s="84">
        <v>81.040000000000006</v>
      </c>
      <c r="L4" s="85"/>
      <c r="M4" s="85" t="s">
        <v>248</v>
      </c>
      <c r="N4" s="85" t="s">
        <v>249</v>
      </c>
      <c r="O4" s="86" t="s">
        <v>250</v>
      </c>
      <c r="P4" s="85" t="s">
        <v>264</v>
      </c>
      <c r="Q4" s="85" t="s">
        <v>265</v>
      </c>
      <c r="R4" s="86" t="s">
        <v>266</v>
      </c>
    </row>
    <row r="5" spans="1:19" x14ac:dyDescent="0.25">
      <c r="A5" s="103" t="s">
        <v>94</v>
      </c>
      <c r="B5" s="78">
        <v>38.950000000000003</v>
      </c>
      <c r="C5" s="79">
        <v>42.22</v>
      </c>
      <c r="D5" s="80">
        <v>40.520000000000003</v>
      </c>
      <c r="E5" s="81">
        <v>43.74</v>
      </c>
      <c r="F5" s="81">
        <v>38.950000000000003</v>
      </c>
      <c r="G5" s="87">
        <v>41.2</v>
      </c>
      <c r="H5" s="137"/>
      <c r="I5" s="88">
        <v>79.5</v>
      </c>
      <c r="J5" s="88">
        <v>84.5</v>
      </c>
      <c r="K5" s="84">
        <v>81.92</v>
      </c>
      <c r="L5" s="85"/>
      <c r="M5" s="85" t="s">
        <v>251</v>
      </c>
      <c r="N5" s="85" t="s">
        <v>252</v>
      </c>
      <c r="O5" s="86" t="s">
        <v>253</v>
      </c>
      <c r="P5" s="85" t="s">
        <v>267</v>
      </c>
      <c r="Q5" s="85" t="s">
        <v>268</v>
      </c>
      <c r="R5" s="86" t="s">
        <v>269</v>
      </c>
    </row>
    <row r="6" spans="1:19" x14ac:dyDescent="0.25">
      <c r="A6" s="103" t="s">
        <v>99</v>
      </c>
      <c r="B6" s="79">
        <v>48.53</v>
      </c>
      <c r="C6" s="79">
        <v>56.73</v>
      </c>
      <c r="D6" s="89">
        <v>52.31</v>
      </c>
      <c r="E6" s="81">
        <v>47.18</v>
      </c>
      <c r="F6" s="81">
        <v>49.59</v>
      </c>
      <c r="G6" s="90">
        <v>48.35</v>
      </c>
      <c r="H6" s="137"/>
      <c r="I6" s="83">
        <v>58.19</v>
      </c>
      <c r="J6" s="83">
        <v>65.319999999999993</v>
      </c>
      <c r="K6" s="91">
        <v>61.55</v>
      </c>
      <c r="L6" s="85"/>
      <c r="M6" s="85" t="s">
        <v>254</v>
      </c>
      <c r="N6" s="85" t="s">
        <v>255</v>
      </c>
      <c r="O6" s="92" t="s">
        <v>256</v>
      </c>
      <c r="P6" s="85" t="s">
        <v>270</v>
      </c>
      <c r="Q6" s="85" t="s">
        <v>271</v>
      </c>
      <c r="R6" s="86" t="s">
        <v>272</v>
      </c>
    </row>
    <row r="7" spans="1:19" x14ac:dyDescent="0.25">
      <c r="A7" s="104" t="s">
        <v>100</v>
      </c>
      <c r="B7" s="79">
        <v>14.31</v>
      </c>
      <c r="C7" s="79">
        <v>18.91</v>
      </c>
      <c r="D7" s="93">
        <v>16.29</v>
      </c>
      <c r="E7" s="81">
        <v>21.75</v>
      </c>
      <c r="F7" s="81">
        <v>19.78</v>
      </c>
      <c r="G7" s="94">
        <v>20.72</v>
      </c>
      <c r="H7" s="138"/>
      <c r="I7" s="83">
        <v>48.11</v>
      </c>
      <c r="J7" s="83">
        <v>58.92</v>
      </c>
      <c r="K7" s="91">
        <v>53.02</v>
      </c>
      <c r="L7" s="85"/>
      <c r="M7" s="85" t="s">
        <v>257</v>
      </c>
      <c r="N7" s="85" t="s">
        <v>258</v>
      </c>
      <c r="O7" s="86" t="s">
        <v>259</v>
      </c>
      <c r="P7" s="85" t="s">
        <v>273</v>
      </c>
      <c r="Q7" s="85" t="s">
        <v>274</v>
      </c>
      <c r="R7" s="86" t="s">
        <v>275</v>
      </c>
    </row>
    <row r="9" spans="1:19" x14ac:dyDescent="0.25">
      <c r="B9" s="184" t="s">
        <v>101</v>
      </c>
      <c r="C9" s="184"/>
      <c r="D9" s="184"/>
      <c r="E9" s="185" t="s">
        <v>102</v>
      </c>
      <c r="F9" s="185"/>
      <c r="G9" s="185"/>
      <c r="H9" s="130"/>
      <c r="I9" s="195" t="s">
        <v>324</v>
      </c>
      <c r="J9" s="195"/>
      <c r="K9" s="195"/>
      <c r="M9" s="192" t="s">
        <v>345</v>
      </c>
      <c r="N9" s="192"/>
      <c r="O9" s="192"/>
      <c r="P9" s="193" t="s">
        <v>347</v>
      </c>
      <c r="Q9" s="193"/>
      <c r="R9" s="193"/>
    </row>
    <row r="10" spans="1:19" x14ac:dyDescent="0.25">
      <c r="B10" s="8" t="s">
        <v>95</v>
      </c>
      <c r="C10" s="8" t="s">
        <v>96</v>
      </c>
      <c r="D10" s="4" t="s">
        <v>97</v>
      </c>
      <c r="E10" s="8" t="s">
        <v>95</v>
      </c>
      <c r="F10" s="8" t="s">
        <v>96</v>
      </c>
      <c r="G10" s="3" t="s">
        <v>97</v>
      </c>
      <c r="H10" s="3"/>
      <c r="I10" s="27" t="s">
        <v>95</v>
      </c>
      <c r="J10" s="27" t="s">
        <v>96</v>
      </c>
      <c r="K10" s="25" t="s">
        <v>97</v>
      </c>
      <c r="M10" s="63" t="s">
        <v>96</v>
      </c>
      <c r="N10" s="63" t="s">
        <v>95</v>
      </c>
      <c r="O10" s="64" t="s">
        <v>97</v>
      </c>
      <c r="P10" s="63" t="s">
        <v>95</v>
      </c>
      <c r="Q10" s="63" t="s">
        <v>96</v>
      </c>
      <c r="R10" s="64" t="s">
        <v>97</v>
      </c>
    </row>
    <row r="11" spans="1:19" x14ac:dyDescent="0.25">
      <c r="A11" t="s">
        <v>98</v>
      </c>
      <c r="B11" s="55">
        <v>85.93</v>
      </c>
      <c r="C11" s="56">
        <v>80.06</v>
      </c>
      <c r="D11" s="143">
        <v>82.89</v>
      </c>
      <c r="E11" s="57">
        <v>59.63</v>
      </c>
      <c r="F11" s="75">
        <v>78</v>
      </c>
      <c r="G11" s="74">
        <v>67.59</v>
      </c>
      <c r="H11" s="74">
        <v>67.590980000000002</v>
      </c>
      <c r="I11" s="69" t="s">
        <v>312</v>
      </c>
      <c r="J11" s="69" t="s">
        <v>313</v>
      </c>
      <c r="K11" s="70" t="s">
        <v>314</v>
      </c>
      <c r="M11" s="76"/>
      <c r="N11" s="76"/>
      <c r="O11" s="175">
        <v>92.210081071554001</v>
      </c>
      <c r="P11" s="65"/>
      <c r="Q11" s="65"/>
      <c r="R11" s="66">
        <v>66.45</v>
      </c>
      <c r="S11" s="58">
        <v>66.449511400651005</v>
      </c>
    </row>
    <row r="12" spans="1:19" x14ac:dyDescent="0.25">
      <c r="A12" t="s">
        <v>94</v>
      </c>
      <c r="B12" s="55">
        <v>79.5</v>
      </c>
      <c r="C12" s="56">
        <v>86.17</v>
      </c>
      <c r="D12" s="144">
        <v>82.7</v>
      </c>
      <c r="E12" s="75">
        <v>57.4</v>
      </c>
      <c r="F12" s="57">
        <v>51.12</v>
      </c>
      <c r="G12" s="74">
        <v>54.08</v>
      </c>
      <c r="H12" s="74">
        <v>54.077252999999999</v>
      </c>
      <c r="I12" s="69" t="s">
        <v>315</v>
      </c>
      <c r="J12" s="69" t="s">
        <v>316</v>
      </c>
      <c r="K12" s="70" t="s">
        <v>317</v>
      </c>
      <c r="M12" s="65"/>
      <c r="N12" s="65"/>
      <c r="O12" s="175">
        <v>94.292961317999996</v>
      </c>
      <c r="P12" s="65"/>
      <c r="Q12" s="65"/>
      <c r="R12" s="66" t="s">
        <v>261</v>
      </c>
      <c r="S12" s="58">
        <v>55.6291390728477</v>
      </c>
    </row>
    <row r="13" spans="1:19" x14ac:dyDescent="0.25">
      <c r="A13" t="s">
        <v>99</v>
      </c>
      <c r="B13">
        <v>56.34</v>
      </c>
      <c r="C13">
        <v>64.040000000000006</v>
      </c>
      <c r="D13" s="62">
        <v>59.94</v>
      </c>
      <c r="E13" s="58">
        <v>53.3</v>
      </c>
      <c r="F13">
        <v>56.86</v>
      </c>
      <c r="G13" s="62">
        <v>55.02</v>
      </c>
      <c r="H13" s="124">
        <v>55.021302400000003</v>
      </c>
      <c r="I13" s="69" t="s">
        <v>318</v>
      </c>
      <c r="J13" s="69" t="s">
        <v>319</v>
      </c>
      <c r="K13" s="71" t="s">
        <v>320</v>
      </c>
      <c r="M13" s="65"/>
      <c r="N13" s="65"/>
      <c r="O13" s="176">
        <v>88.083164300202</v>
      </c>
      <c r="P13" s="65"/>
      <c r="Q13" s="65"/>
      <c r="R13" s="66" t="s">
        <v>262</v>
      </c>
      <c r="S13" s="58">
        <v>43.013522215067603</v>
      </c>
    </row>
    <row r="14" spans="1:19" x14ac:dyDescent="0.25">
      <c r="A14" s="2" t="s">
        <v>100</v>
      </c>
      <c r="B14" s="55">
        <v>44</v>
      </c>
      <c r="C14" s="56">
        <v>58.17</v>
      </c>
      <c r="D14" s="144">
        <v>50.1</v>
      </c>
      <c r="E14" s="75">
        <v>32.659999999999997</v>
      </c>
      <c r="F14" s="75">
        <v>29.7</v>
      </c>
      <c r="G14" s="134">
        <v>31.11</v>
      </c>
      <c r="H14" s="134">
        <v>31.356225999999999</v>
      </c>
      <c r="I14" s="69" t="s">
        <v>321</v>
      </c>
      <c r="J14" s="69" t="s">
        <v>322</v>
      </c>
      <c r="K14" s="71" t="s">
        <v>323</v>
      </c>
      <c r="M14" s="65"/>
      <c r="N14" s="65"/>
      <c r="O14" s="176">
        <v>81.914642772929994</v>
      </c>
      <c r="P14" s="65"/>
      <c r="Q14" s="65"/>
      <c r="R14" s="66" t="s">
        <v>263</v>
      </c>
      <c r="S14" s="135">
        <v>25.3895857088559</v>
      </c>
    </row>
    <row r="15" spans="1:19" x14ac:dyDescent="0.25">
      <c r="A15" s="2"/>
      <c r="B15" s="123"/>
      <c r="C15" s="11"/>
      <c r="D15" s="132" t="s">
        <v>338</v>
      </c>
      <c r="E15" s="123"/>
      <c r="F15" s="123"/>
      <c r="G15" s="135"/>
      <c r="H15" s="132" t="s">
        <v>337</v>
      </c>
      <c r="I15" s="72" t="s">
        <v>325</v>
      </c>
      <c r="J15" s="69"/>
      <c r="K15" s="70"/>
      <c r="M15" s="65"/>
      <c r="N15" s="65"/>
      <c r="O15" s="132" t="s">
        <v>346</v>
      </c>
      <c r="P15" s="65"/>
      <c r="Q15" s="65"/>
      <c r="R15" s="178" t="s">
        <v>34</v>
      </c>
      <c r="S15" s="178" t="s">
        <v>337</v>
      </c>
    </row>
    <row r="16" spans="1:19" x14ac:dyDescent="0.25">
      <c r="A16" s="24" t="s">
        <v>333</v>
      </c>
      <c r="B16" s="125"/>
      <c r="C16" s="26"/>
      <c r="D16" s="126"/>
      <c r="E16" s="125"/>
      <c r="F16" s="125"/>
      <c r="G16" s="127"/>
      <c r="H16" s="127"/>
      <c r="I16" s="69"/>
      <c r="J16" s="69"/>
      <c r="K16" s="70"/>
      <c r="L16" s="26"/>
      <c r="M16" s="69"/>
      <c r="N16" s="69"/>
      <c r="O16" s="70"/>
      <c r="P16" s="65"/>
      <c r="Q16" s="65"/>
      <c r="R16" s="66"/>
    </row>
    <row r="17" spans="1:18" x14ac:dyDescent="0.25">
      <c r="A17" s="26" t="s">
        <v>99</v>
      </c>
      <c r="B17" s="125">
        <v>60.21</v>
      </c>
      <c r="C17" s="26">
        <v>62.74</v>
      </c>
      <c r="D17" s="126">
        <v>61.45</v>
      </c>
      <c r="E17" s="125"/>
      <c r="F17" s="125"/>
      <c r="G17" s="127"/>
      <c r="H17" s="127"/>
      <c r="I17" s="69"/>
      <c r="J17" s="69"/>
      <c r="K17" s="70"/>
      <c r="L17" s="26"/>
      <c r="M17" s="69">
        <v>86.24</v>
      </c>
      <c r="N17" s="69">
        <v>86.02</v>
      </c>
      <c r="O17" s="128">
        <v>86.13</v>
      </c>
      <c r="P17" s="65"/>
      <c r="Q17" s="65"/>
      <c r="R17" s="66"/>
    </row>
    <row r="18" spans="1:18" x14ac:dyDescent="0.25">
      <c r="A18" s="26" t="s">
        <v>100</v>
      </c>
      <c r="B18" s="125">
        <v>48.48</v>
      </c>
      <c r="C18" s="26">
        <v>55.99</v>
      </c>
      <c r="D18" s="24">
        <v>51.96</v>
      </c>
      <c r="E18" s="26"/>
      <c r="F18" s="26"/>
      <c r="G18" s="26"/>
      <c r="H18" s="26"/>
      <c r="J18" s="26"/>
      <c r="K18" s="26"/>
      <c r="L18" s="26"/>
      <c r="M18" s="26">
        <v>82.19</v>
      </c>
      <c r="N18" s="26">
        <v>82.59</v>
      </c>
      <c r="O18" s="129">
        <v>82.39</v>
      </c>
    </row>
    <row r="21" spans="1:18" x14ac:dyDescent="0.25">
      <c r="A21" s="50" t="s">
        <v>188</v>
      </c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</row>
    <row r="22" spans="1:18" x14ac:dyDescent="0.25">
      <c r="A22" s="103"/>
      <c r="B22" s="188" t="s">
        <v>91</v>
      </c>
      <c r="C22" s="188"/>
      <c r="D22" s="188"/>
      <c r="E22" s="189" t="s">
        <v>92</v>
      </c>
      <c r="F22" s="189"/>
      <c r="G22" s="189"/>
      <c r="H22" s="136"/>
      <c r="I22" s="194" t="s">
        <v>93</v>
      </c>
      <c r="J22" s="194"/>
      <c r="K22" s="194"/>
      <c r="L22" s="52"/>
      <c r="M22" s="186" t="s">
        <v>201</v>
      </c>
      <c r="N22" s="186"/>
      <c r="O22" s="186"/>
      <c r="P22" s="187" t="s">
        <v>260</v>
      </c>
      <c r="Q22" s="187"/>
      <c r="R22" s="187"/>
    </row>
    <row r="23" spans="1:18" x14ac:dyDescent="0.25">
      <c r="A23" s="103"/>
      <c r="B23" s="95" t="s">
        <v>95</v>
      </c>
      <c r="C23" s="95" t="s">
        <v>96</v>
      </c>
      <c r="D23" s="96" t="s">
        <v>97</v>
      </c>
      <c r="E23" s="97" t="s">
        <v>95</v>
      </c>
      <c r="F23" s="97" t="s">
        <v>96</v>
      </c>
      <c r="G23" s="98" t="s">
        <v>97</v>
      </c>
      <c r="H23" s="136"/>
      <c r="I23" s="99" t="s">
        <v>95</v>
      </c>
      <c r="J23" s="99" t="s">
        <v>96</v>
      </c>
      <c r="K23" s="100" t="s">
        <v>97</v>
      </c>
      <c r="L23" s="52"/>
      <c r="M23" s="101" t="s">
        <v>95</v>
      </c>
      <c r="N23" s="101" t="s">
        <v>96</v>
      </c>
      <c r="O23" s="102" t="s">
        <v>97</v>
      </c>
      <c r="P23" s="101" t="s">
        <v>95</v>
      </c>
      <c r="Q23" s="101" t="s">
        <v>96</v>
      </c>
      <c r="R23" s="102" t="s">
        <v>97</v>
      </c>
    </row>
    <row r="24" spans="1:18" x14ac:dyDescent="0.25">
      <c r="A24" s="103" t="s">
        <v>98</v>
      </c>
      <c r="B24" s="105" t="s">
        <v>126</v>
      </c>
      <c r="C24" s="106" t="s">
        <v>127</v>
      </c>
      <c r="D24" s="107" t="s">
        <v>137</v>
      </c>
      <c r="E24" s="108" t="s">
        <v>114</v>
      </c>
      <c r="F24" s="108" t="s">
        <v>115</v>
      </c>
      <c r="G24" s="109" t="s">
        <v>116</v>
      </c>
      <c r="H24" s="86"/>
      <c r="I24" s="110" t="s">
        <v>103</v>
      </c>
      <c r="J24" s="110" t="s">
        <v>104</v>
      </c>
      <c r="K24" s="111" t="s">
        <v>105</v>
      </c>
      <c r="L24" s="52"/>
      <c r="M24" s="85" t="s">
        <v>237</v>
      </c>
      <c r="N24" s="85" t="s">
        <v>238</v>
      </c>
      <c r="O24" s="86" t="s">
        <v>239</v>
      </c>
      <c r="P24" s="85" t="s">
        <v>276</v>
      </c>
      <c r="Q24" s="85" t="s">
        <v>277</v>
      </c>
      <c r="R24" s="86" t="s">
        <v>278</v>
      </c>
    </row>
    <row r="25" spans="1:18" x14ac:dyDescent="0.25">
      <c r="A25" s="103" t="s">
        <v>94</v>
      </c>
      <c r="B25" s="105" t="s">
        <v>128</v>
      </c>
      <c r="C25" s="106" t="s">
        <v>129</v>
      </c>
      <c r="D25" s="107" t="s">
        <v>130</v>
      </c>
      <c r="E25" s="108" t="s">
        <v>117</v>
      </c>
      <c r="F25" s="108" t="s">
        <v>118</v>
      </c>
      <c r="G25" s="112" t="s">
        <v>119</v>
      </c>
      <c r="H25" s="139"/>
      <c r="I25" s="113" t="s">
        <v>106</v>
      </c>
      <c r="J25" s="113" t="s">
        <v>107</v>
      </c>
      <c r="K25" s="111" t="s">
        <v>108</v>
      </c>
      <c r="L25" s="52"/>
      <c r="M25" s="85" t="s">
        <v>193</v>
      </c>
      <c r="N25" s="85" t="s">
        <v>240</v>
      </c>
      <c r="O25" s="86" t="s">
        <v>241</v>
      </c>
      <c r="P25" s="85" t="s">
        <v>279</v>
      </c>
      <c r="Q25" s="85" t="s">
        <v>280</v>
      </c>
      <c r="R25" s="86" t="s">
        <v>281</v>
      </c>
    </row>
    <row r="26" spans="1:18" x14ac:dyDescent="0.25">
      <c r="A26" s="103" t="s">
        <v>99</v>
      </c>
      <c r="B26" s="106" t="s">
        <v>131</v>
      </c>
      <c r="C26" s="106" t="s">
        <v>132</v>
      </c>
      <c r="D26" s="92" t="s">
        <v>133</v>
      </c>
      <c r="E26" s="108" t="s">
        <v>120</v>
      </c>
      <c r="F26" s="108" t="s">
        <v>121</v>
      </c>
      <c r="G26" s="114" t="s">
        <v>122</v>
      </c>
      <c r="H26" s="139"/>
      <c r="I26" s="110" t="s">
        <v>109</v>
      </c>
      <c r="J26" s="110" t="s">
        <v>110</v>
      </c>
      <c r="K26" s="115" t="s">
        <v>111</v>
      </c>
      <c r="L26" s="53"/>
      <c r="M26" s="85" t="s">
        <v>242</v>
      </c>
      <c r="N26" s="85" t="s">
        <v>243</v>
      </c>
      <c r="O26" s="92" t="s">
        <v>244</v>
      </c>
      <c r="P26" s="85" t="s">
        <v>282</v>
      </c>
      <c r="Q26" s="85" t="s">
        <v>283</v>
      </c>
      <c r="R26" s="86" t="s">
        <v>284</v>
      </c>
    </row>
    <row r="27" spans="1:18" x14ac:dyDescent="0.25">
      <c r="A27" s="104" t="s">
        <v>100</v>
      </c>
      <c r="B27" s="106" t="s">
        <v>134</v>
      </c>
      <c r="C27" s="106" t="s">
        <v>135</v>
      </c>
      <c r="D27" s="157" t="s">
        <v>136</v>
      </c>
      <c r="E27" s="108" t="s">
        <v>123</v>
      </c>
      <c r="F27" s="108" t="s">
        <v>124</v>
      </c>
      <c r="G27" s="116" t="s">
        <v>125</v>
      </c>
      <c r="H27" s="140"/>
      <c r="I27" s="110" t="s">
        <v>112</v>
      </c>
      <c r="J27" s="110" t="s">
        <v>113</v>
      </c>
      <c r="K27" s="115" t="s">
        <v>150</v>
      </c>
      <c r="L27" s="53"/>
      <c r="M27" s="158" t="s">
        <v>246</v>
      </c>
      <c r="N27" s="85" t="s">
        <v>245</v>
      </c>
      <c r="O27" s="86" t="s">
        <v>247</v>
      </c>
      <c r="P27" s="85" t="s">
        <v>285</v>
      </c>
      <c r="Q27" s="85" t="s">
        <v>286</v>
      </c>
      <c r="R27" s="86" t="s">
        <v>287</v>
      </c>
    </row>
    <row r="29" spans="1:18" x14ac:dyDescent="0.25">
      <c r="B29" s="184" t="s">
        <v>101</v>
      </c>
      <c r="C29" s="184"/>
      <c r="D29" s="184"/>
      <c r="E29" s="185" t="s">
        <v>327</v>
      </c>
      <c r="F29" s="185"/>
      <c r="G29" s="185"/>
      <c r="H29" s="130"/>
      <c r="I29" s="195" t="s">
        <v>332</v>
      </c>
      <c r="J29" s="195"/>
      <c r="K29" s="195"/>
      <c r="L29" s="53"/>
      <c r="M29" s="192" t="s">
        <v>330</v>
      </c>
      <c r="N29" s="192"/>
      <c r="O29" s="192"/>
      <c r="P29" s="193" t="s">
        <v>331</v>
      </c>
      <c r="Q29" s="193"/>
      <c r="R29" s="193"/>
    </row>
    <row r="30" spans="1:18" x14ac:dyDescent="0.25">
      <c r="B30" s="8" t="s">
        <v>95</v>
      </c>
      <c r="C30" s="8" t="s">
        <v>96</v>
      </c>
      <c r="D30" s="4" t="s">
        <v>97</v>
      </c>
      <c r="E30" s="8" t="s">
        <v>95</v>
      </c>
      <c r="F30" s="8" t="s">
        <v>96</v>
      </c>
      <c r="G30" s="3" t="s">
        <v>97</v>
      </c>
      <c r="H30" s="3"/>
      <c r="I30" s="27" t="s">
        <v>95</v>
      </c>
      <c r="J30" s="27" t="s">
        <v>96</v>
      </c>
      <c r="K30" s="25" t="s">
        <v>97</v>
      </c>
      <c r="M30" s="63" t="s">
        <v>95</v>
      </c>
      <c r="N30" s="63" t="s">
        <v>96</v>
      </c>
      <c r="O30" s="64" t="s">
        <v>97</v>
      </c>
      <c r="P30" s="63" t="s">
        <v>95</v>
      </c>
      <c r="Q30" s="63" t="s">
        <v>96</v>
      </c>
      <c r="R30" s="64" t="s">
        <v>97</v>
      </c>
    </row>
    <row r="31" spans="1:18" x14ac:dyDescent="0.25">
      <c r="A31" t="s">
        <v>98</v>
      </c>
      <c r="B31" s="55">
        <v>91.92</v>
      </c>
      <c r="C31" s="56">
        <v>85.62</v>
      </c>
      <c r="D31" s="143">
        <v>88.66</v>
      </c>
      <c r="E31" s="57">
        <v>70.31</v>
      </c>
      <c r="F31" s="75">
        <v>87.57</v>
      </c>
      <c r="G31" s="54">
        <v>78</v>
      </c>
      <c r="H31" s="74">
        <v>77.99736</v>
      </c>
      <c r="M31">
        <v>93.51</v>
      </c>
      <c r="N31">
        <v>95.58</v>
      </c>
      <c r="O31" s="133">
        <v>94.53</v>
      </c>
    </row>
    <row r="32" spans="1:18" x14ac:dyDescent="0.25">
      <c r="A32" t="s">
        <v>94</v>
      </c>
      <c r="B32" s="55">
        <v>78.42</v>
      </c>
      <c r="C32" s="56">
        <v>90.64</v>
      </c>
      <c r="D32" s="144">
        <v>84.09</v>
      </c>
      <c r="E32" s="75">
        <v>62.41</v>
      </c>
      <c r="F32" s="57">
        <v>67.38</v>
      </c>
      <c r="G32" s="54">
        <v>64.8</v>
      </c>
      <c r="H32" s="74">
        <v>64.799252999999993</v>
      </c>
      <c r="M32">
        <v>94.16</v>
      </c>
      <c r="N32">
        <v>97.3</v>
      </c>
      <c r="O32" s="133">
        <v>95.71</v>
      </c>
    </row>
    <row r="33" spans="1:18" x14ac:dyDescent="0.25">
      <c r="A33" t="s">
        <v>99</v>
      </c>
      <c r="B33">
        <v>60.22</v>
      </c>
      <c r="C33">
        <v>69.41</v>
      </c>
      <c r="D33" s="62">
        <v>64.489999999999995</v>
      </c>
      <c r="E33" s="58">
        <v>50.91</v>
      </c>
      <c r="F33">
        <v>55.33</v>
      </c>
      <c r="G33" s="2">
        <v>53.03</v>
      </c>
      <c r="H33" s="124">
        <v>53.026195999999999</v>
      </c>
      <c r="M33">
        <v>88.73</v>
      </c>
      <c r="N33">
        <v>89.23</v>
      </c>
      <c r="O33" s="131">
        <v>88.98</v>
      </c>
    </row>
    <row r="34" spans="1:18" x14ac:dyDescent="0.25">
      <c r="A34" s="2" t="s">
        <v>100</v>
      </c>
      <c r="B34" s="55">
        <v>44.17</v>
      </c>
      <c r="C34" s="56">
        <v>64.290000000000006</v>
      </c>
      <c r="D34" s="144">
        <v>52.37</v>
      </c>
      <c r="E34" s="75">
        <v>31.66</v>
      </c>
      <c r="F34" s="75">
        <v>35.6</v>
      </c>
      <c r="G34" s="74">
        <v>33.51</v>
      </c>
      <c r="H34" s="134">
        <v>33.716254999999997</v>
      </c>
      <c r="M34">
        <v>79.569999999999993</v>
      </c>
      <c r="N34">
        <v>87.13</v>
      </c>
      <c r="O34" s="131">
        <v>83.18</v>
      </c>
    </row>
    <row r="35" spans="1:18" x14ac:dyDescent="0.25">
      <c r="D35" s="132" t="s">
        <v>338</v>
      </c>
      <c r="G35" s="74">
        <v>33.51</v>
      </c>
      <c r="H35" s="132" t="s">
        <v>337</v>
      </c>
      <c r="O35" s="132" t="s">
        <v>334</v>
      </c>
    </row>
    <row r="37" spans="1:18" x14ac:dyDescent="0.25">
      <c r="M37" s="51"/>
      <c r="N37" s="51"/>
      <c r="O37" s="51"/>
      <c r="P37" s="51"/>
      <c r="Q37" s="51"/>
      <c r="R37" s="51"/>
    </row>
    <row r="38" spans="1:18" x14ac:dyDescent="0.25">
      <c r="A38" s="50" t="s">
        <v>187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186" t="s">
        <v>201</v>
      </c>
      <c r="N38" s="186"/>
      <c r="O38" s="186"/>
      <c r="P38" s="187" t="s">
        <v>260</v>
      </c>
      <c r="Q38" s="187"/>
      <c r="R38" s="187"/>
    </row>
    <row r="39" spans="1:18" x14ac:dyDescent="0.25">
      <c r="A39" s="103"/>
      <c r="B39" s="188" t="s">
        <v>91</v>
      </c>
      <c r="C39" s="188"/>
      <c r="D39" s="188"/>
      <c r="E39" s="189" t="s">
        <v>92</v>
      </c>
      <c r="F39" s="189"/>
      <c r="G39" s="189"/>
      <c r="H39" s="136"/>
      <c r="I39" s="194" t="s">
        <v>93</v>
      </c>
      <c r="J39" s="194"/>
      <c r="K39" s="194"/>
      <c r="L39" s="85"/>
      <c r="M39" s="101" t="s">
        <v>95</v>
      </c>
      <c r="N39" s="101" t="s">
        <v>96</v>
      </c>
      <c r="O39" s="102" t="s">
        <v>97</v>
      </c>
      <c r="P39" s="101" t="s">
        <v>95</v>
      </c>
      <c r="Q39" s="101" t="s">
        <v>96</v>
      </c>
      <c r="R39" s="102" t="s">
        <v>97</v>
      </c>
    </row>
    <row r="40" spans="1:18" x14ac:dyDescent="0.25">
      <c r="A40" s="103"/>
      <c r="B40" s="95" t="s">
        <v>95</v>
      </c>
      <c r="C40" s="95" t="s">
        <v>96</v>
      </c>
      <c r="D40" s="96" t="s">
        <v>97</v>
      </c>
      <c r="E40" s="97" t="s">
        <v>95</v>
      </c>
      <c r="F40" s="97" t="s">
        <v>96</v>
      </c>
      <c r="G40" s="98" t="s">
        <v>97</v>
      </c>
      <c r="H40" s="136"/>
      <c r="I40" s="99" t="s">
        <v>95</v>
      </c>
      <c r="J40" s="99" t="s">
        <v>96</v>
      </c>
      <c r="K40" s="100" t="s">
        <v>97</v>
      </c>
      <c r="L40" s="85"/>
      <c r="M40" s="85" t="s">
        <v>226</v>
      </c>
      <c r="N40" s="85" t="s">
        <v>227</v>
      </c>
      <c r="O40" s="86" t="s">
        <v>228</v>
      </c>
      <c r="P40" s="85" t="s">
        <v>288</v>
      </c>
      <c r="Q40" s="85" t="s">
        <v>289</v>
      </c>
      <c r="R40" s="86" t="s">
        <v>290</v>
      </c>
    </row>
    <row r="41" spans="1:18" x14ac:dyDescent="0.25">
      <c r="A41" s="103" t="s">
        <v>98</v>
      </c>
      <c r="B41" s="105" t="s">
        <v>163</v>
      </c>
      <c r="C41" s="106" t="s">
        <v>164</v>
      </c>
      <c r="D41" s="107" t="s">
        <v>165</v>
      </c>
      <c r="E41" s="108" t="s">
        <v>151</v>
      </c>
      <c r="F41" s="108" t="s">
        <v>152</v>
      </c>
      <c r="G41" s="109" t="s">
        <v>153</v>
      </c>
      <c r="H41" s="86"/>
      <c r="I41" s="110" t="s">
        <v>138</v>
      </c>
      <c r="J41" s="110" t="s">
        <v>139</v>
      </c>
      <c r="K41" s="111" t="s">
        <v>140</v>
      </c>
      <c r="L41" s="85"/>
      <c r="M41" s="85" t="s">
        <v>229</v>
      </c>
      <c r="N41" s="85" t="s">
        <v>230</v>
      </c>
      <c r="O41" s="86" t="s">
        <v>231</v>
      </c>
      <c r="P41" s="85" t="s">
        <v>291</v>
      </c>
      <c r="Q41" s="85" t="s">
        <v>292</v>
      </c>
      <c r="R41" s="86" t="s">
        <v>293</v>
      </c>
    </row>
    <row r="42" spans="1:18" x14ac:dyDescent="0.25">
      <c r="A42" s="103" t="s">
        <v>94</v>
      </c>
      <c r="B42" s="105" t="s">
        <v>166</v>
      </c>
      <c r="C42" s="106" t="s">
        <v>167</v>
      </c>
      <c r="D42" s="107" t="s">
        <v>168</v>
      </c>
      <c r="E42" s="108" t="s">
        <v>154</v>
      </c>
      <c r="F42" s="108" t="s">
        <v>155</v>
      </c>
      <c r="G42" s="112" t="s">
        <v>156</v>
      </c>
      <c r="H42" s="139"/>
      <c r="I42" s="113" t="s">
        <v>141</v>
      </c>
      <c r="J42" s="113" t="s">
        <v>142</v>
      </c>
      <c r="K42" s="111" t="s">
        <v>143</v>
      </c>
      <c r="L42" s="85"/>
      <c r="M42" s="85" t="s">
        <v>203</v>
      </c>
      <c r="N42" s="85" t="s">
        <v>232</v>
      </c>
      <c r="O42" s="92" t="s">
        <v>233</v>
      </c>
      <c r="P42" s="85" t="s">
        <v>294</v>
      </c>
      <c r="Q42" s="85" t="s">
        <v>295</v>
      </c>
      <c r="R42" s="86" t="s">
        <v>296</v>
      </c>
    </row>
    <row r="43" spans="1:18" x14ac:dyDescent="0.25">
      <c r="A43" s="103" t="s">
        <v>99</v>
      </c>
      <c r="B43" s="106" t="s">
        <v>169</v>
      </c>
      <c r="C43" s="106" t="s">
        <v>170</v>
      </c>
      <c r="D43" s="93" t="s">
        <v>171</v>
      </c>
      <c r="E43" s="108" t="s">
        <v>157</v>
      </c>
      <c r="F43" s="108" t="s">
        <v>158</v>
      </c>
      <c r="G43" s="114" t="s">
        <v>159</v>
      </c>
      <c r="H43" s="139"/>
      <c r="I43" s="110" t="s">
        <v>144</v>
      </c>
      <c r="J43" s="110" t="s">
        <v>145</v>
      </c>
      <c r="K43" s="115" t="s">
        <v>146</v>
      </c>
      <c r="L43" s="85"/>
      <c r="M43" s="85" t="s">
        <v>234</v>
      </c>
      <c r="N43" s="85" t="s">
        <v>235</v>
      </c>
      <c r="O43" s="86" t="s">
        <v>236</v>
      </c>
      <c r="P43" s="85" t="s">
        <v>297</v>
      </c>
      <c r="Q43" s="85" t="s">
        <v>298</v>
      </c>
      <c r="R43" s="117" t="s">
        <v>299</v>
      </c>
    </row>
    <row r="44" spans="1:18" x14ac:dyDescent="0.25">
      <c r="A44" s="104" t="s">
        <v>100</v>
      </c>
      <c r="B44" s="106" t="s">
        <v>173</v>
      </c>
      <c r="C44" s="106" t="s">
        <v>172</v>
      </c>
      <c r="D44" s="93">
        <v>15.5</v>
      </c>
      <c r="E44" s="108" t="s">
        <v>160</v>
      </c>
      <c r="F44" s="108" t="s">
        <v>161</v>
      </c>
      <c r="G44" s="116" t="s">
        <v>162</v>
      </c>
      <c r="H44" s="140"/>
      <c r="I44" s="110" t="s">
        <v>147</v>
      </c>
      <c r="J44" s="110" t="s">
        <v>148</v>
      </c>
      <c r="K44" s="115" t="s">
        <v>149</v>
      </c>
      <c r="L44" s="85"/>
    </row>
    <row r="45" spans="1:18" x14ac:dyDescent="0.25">
      <c r="M45" s="192" t="s">
        <v>330</v>
      </c>
      <c r="N45" s="192"/>
      <c r="O45" s="192"/>
      <c r="P45" s="193" t="s">
        <v>331</v>
      </c>
      <c r="Q45" s="193"/>
      <c r="R45" s="193"/>
    </row>
    <row r="46" spans="1:18" x14ac:dyDescent="0.25">
      <c r="B46" s="184" t="s">
        <v>326</v>
      </c>
      <c r="C46" s="184"/>
      <c r="D46" s="184"/>
      <c r="E46" s="185" t="s">
        <v>327</v>
      </c>
      <c r="F46" s="185"/>
      <c r="G46" s="185"/>
      <c r="H46" s="130"/>
      <c r="I46" s="195" t="s">
        <v>332</v>
      </c>
      <c r="J46" s="195"/>
      <c r="K46" s="195"/>
      <c r="M46" s="63" t="s">
        <v>95</v>
      </c>
      <c r="N46" s="63" t="s">
        <v>96</v>
      </c>
      <c r="O46" s="64" t="s">
        <v>97</v>
      </c>
      <c r="P46" s="63" t="s">
        <v>95</v>
      </c>
      <c r="Q46" s="63" t="s">
        <v>96</v>
      </c>
      <c r="R46" s="64" t="s">
        <v>97</v>
      </c>
    </row>
    <row r="47" spans="1:18" x14ac:dyDescent="0.25">
      <c r="B47" s="8" t="s">
        <v>95</v>
      </c>
      <c r="C47" s="8" t="s">
        <v>96</v>
      </c>
      <c r="D47" s="4" t="s">
        <v>97</v>
      </c>
      <c r="E47" s="8" t="s">
        <v>95</v>
      </c>
      <c r="F47" s="8" t="s">
        <v>96</v>
      </c>
      <c r="G47" s="3" t="s">
        <v>97</v>
      </c>
      <c r="H47" s="3"/>
      <c r="I47" s="27" t="s">
        <v>95</v>
      </c>
      <c r="J47" s="27" t="s">
        <v>96</v>
      </c>
      <c r="K47" s="25" t="s">
        <v>97</v>
      </c>
      <c r="M47" s="65">
        <v>90.64</v>
      </c>
      <c r="N47" s="65">
        <v>94.67</v>
      </c>
      <c r="O47" s="67">
        <v>92.61</v>
      </c>
      <c r="P47" s="65">
        <v>74.47</v>
      </c>
      <c r="Q47" s="65">
        <v>88.38</v>
      </c>
      <c r="R47" s="67">
        <v>80.83</v>
      </c>
    </row>
    <row r="48" spans="1:18" x14ac:dyDescent="0.25">
      <c r="A48" t="s">
        <v>98</v>
      </c>
      <c r="B48" s="55">
        <v>90.63</v>
      </c>
      <c r="C48" s="56">
        <v>90.22</v>
      </c>
      <c r="D48" s="143">
        <v>90.42</v>
      </c>
      <c r="E48" s="61">
        <v>77.23</v>
      </c>
      <c r="F48" s="61">
        <v>87.37</v>
      </c>
      <c r="G48" s="73">
        <v>81.99</v>
      </c>
      <c r="H48" s="73">
        <v>81.990499999999997</v>
      </c>
      <c r="M48" s="65">
        <v>90.97</v>
      </c>
      <c r="N48" s="65">
        <v>92.31</v>
      </c>
      <c r="O48" s="67">
        <v>91.64</v>
      </c>
      <c r="P48" s="76">
        <v>70.400000000000006</v>
      </c>
      <c r="Q48" s="65">
        <v>68.42</v>
      </c>
      <c r="R48" s="77">
        <v>69.400000000000006</v>
      </c>
    </row>
    <row r="49" spans="1:18" x14ac:dyDescent="0.25">
      <c r="A49" t="s">
        <v>94</v>
      </c>
      <c r="B49" s="55">
        <v>68.14</v>
      </c>
      <c r="C49" s="56">
        <v>84.62</v>
      </c>
      <c r="D49" s="144">
        <v>75.489999999999995</v>
      </c>
      <c r="E49" s="61">
        <v>69.03</v>
      </c>
      <c r="F49" s="61">
        <v>82.11</v>
      </c>
      <c r="G49" s="73">
        <v>75</v>
      </c>
      <c r="H49" s="73">
        <v>75</v>
      </c>
      <c r="M49" s="65">
        <v>84.39</v>
      </c>
      <c r="N49" s="65">
        <v>85.52</v>
      </c>
      <c r="O49" s="67">
        <v>84.95</v>
      </c>
      <c r="P49" s="65">
        <v>48.63</v>
      </c>
      <c r="Q49" s="65">
        <v>43.23</v>
      </c>
      <c r="R49" s="66">
        <v>45.77</v>
      </c>
    </row>
    <row r="50" spans="1:18" x14ac:dyDescent="0.25">
      <c r="A50" t="s">
        <v>99</v>
      </c>
      <c r="B50" s="11">
        <v>56.11</v>
      </c>
      <c r="C50" s="11">
        <v>69.97</v>
      </c>
      <c r="D50" s="62">
        <v>62.28</v>
      </c>
      <c r="E50" s="58">
        <v>52.78</v>
      </c>
      <c r="F50">
        <v>57.52</v>
      </c>
      <c r="G50" s="2">
        <v>55.05</v>
      </c>
      <c r="H50" s="59">
        <v>55.051420999999998</v>
      </c>
      <c r="M50" s="65">
        <v>74.510000000000005</v>
      </c>
      <c r="N50" s="76">
        <v>79.900000000000006</v>
      </c>
      <c r="O50" s="67">
        <v>77.12</v>
      </c>
      <c r="P50" s="65">
        <v>36.93</v>
      </c>
      <c r="Q50" s="76">
        <v>29.8</v>
      </c>
      <c r="R50" s="68" t="s">
        <v>329</v>
      </c>
    </row>
    <row r="51" spans="1:18" x14ac:dyDescent="0.25">
      <c r="A51" s="2" t="s">
        <v>100</v>
      </c>
      <c r="B51" s="60">
        <v>36.14</v>
      </c>
      <c r="C51" s="60">
        <v>64.02</v>
      </c>
      <c r="D51" s="144">
        <v>46.2</v>
      </c>
      <c r="E51" s="61">
        <v>35.83</v>
      </c>
      <c r="F51" s="61">
        <v>47.74</v>
      </c>
      <c r="G51" s="73">
        <v>40.94</v>
      </c>
      <c r="H51" s="141">
        <v>41.064979999999998</v>
      </c>
    </row>
    <row r="52" spans="1:18" x14ac:dyDescent="0.25">
      <c r="D52" s="132" t="s">
        <v>338</v>
      </c>
      <c r="H52" s="132" t="s">
        <v>337</v>
      </c>
    </row>
    <row r="54" spans="1:18" x14ac:dyDescent="0.25">
      <c r="M54" s="51"/>
      <c r="N54" s="51"/>
      <c r="O54" s="51"/>
      <c r="P54" s="51"/>
      <c r="Q54" s="51"/>
      <c r="R54" s="51"/>
    </row>
    <row r="55" spans="1:18" x14ac:dyDescent="0.25">
      <c r="A55" s="50" t="s">
        <v>186</v>
      </c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186" t="s">
        <v>201</v>
      </c>
      <c r="N55" s="186"/>
      <c r="O55" s="186"/>
      <c r="P55" s="187" t="s">
        <v>260</v>
      </c>
      <c r="Q55" s="187"/>
      <c r="R55" s="187"/>
    </row>
    <row r="56" spans="1:18" s="103" customFormat="1" x14ac:dyDescent="0.25">
      <c r="B56" s="188" t="s">
        <v>91</v>
      </c>
      <c r="C56" s="188"/>
      <c r="D56" s="188"/>
      <c r="E56" s="189" t="s">
        <v>92</v>
      </c>
      <c r="F56" s="189"/>
      <c r="G56" s="189"/>
      <c r="H56" s="136"/>
      <c r="I56" s="194" t="s">
        <v>93</v>
      </c>
      <c r="J56" s="194"/>
      <c r="K56" s="194"/>
      <c r="L56" s="85"/>
      <c r="M56" s="101" t="s">
        <v>95</v>
      </c>
      <c r="N56" s="101" t="s">
        <v>96</v>
      </c>
      <c r="O56" s="102" t="s">
        <v>97</v>
      </c>
      <c r="P56" s="101" t="s">
        <v>95</v>
      </c>
      <c r="Q56" s="101" t="s">
        <v>96</v>
      </c>
      <c r="R56" s="102" t="s">
        <v>97</v>
      </c>
    </row>
    <row r="57" spans="1:18" s="103" customFormat="1" x14ac:dyDescent="0.25">
      <c r="B57" s="95" t="s">
        <v>95</v>
      </c>
      <c r="C57" s="95" t="s">
        <v>96</v>
      </c>
      <c r="D57" s="96" t="s">
        <v>97</v>
      </c>
      <c r="E57" s="97" t="s">
        <v>95</v>
      </c>
      <c r="F57" s="97" t="s">
        <v>96</v>
      </c>
      <c r="G57" s="98" t="s">
        <v>97</v>
      </c>
      <c r="H57" s="136"/>
      <c r="I57" s="99" t="s">
        <v>95</v>
      </c>
      <c r="J57" s="99" t="s">
        <v>96</v>
      </c>
      <c r="K57" s="100" t="s">
        <v>97</v>
      </c>
      <c r="L57" s="85"/>
      <c r="M57" s="85" t="s">
        <v>215</v>
      </c>
      <c r="N57" s="85" t="s">
        <v>216</v>
      </c>
      <c r="O57" s="86" t="s">
        <v>217</v>
      </c>
      <c r="P57" s="85" t="s">
        <v>300</v>
      </c>
      <c r="Q57" s="85" t="s">
        <v>301</v>
      </c>
      <c r="R57" s="86" t="s">
        <v>137</v>
      </c>
    </row>
    <row r="58" spans="1:18" s="103" customFormat="1" x14ac:dyDescent="0.25">
      <c r="A58" s="103" t="s">
        <v>98</v>
      </c>
      <c r="B58" s="105" t="s">
        <v>202</v>
      </c>
      <c r="C58" s="106" t="s">
        <v>204</v>
      </c>
      <c r="D58" s="107" t="s">
        <v>205</v>
      </c>
      <c r="E58" s="108" t="s">
        <v>190</v>
      </c>
      <c r="F58" s="108" t="s">
        <v>191</v>
      </c>
      <c r="G58" s="109" t="s">
        <v>192</v>
      </c>
      <c r="H58" s="86"/>
      <c r="I58" s="110" t="s">
        <v>174</v>
      </c>
      <c r="J58" s="110" t="s">
        <v>175</v>
      </c>
      <c r="K58" s="111" t="s">
        <v>176</v>
      </c>
      <c r="L58" s="85"/>
      <c r="M58" s="85" t="s">
        <v>218</v>
      </c>
      <c r="N58" s="85">
        <v>39.950000000000003</v>
      </c>
      <c r="O58" s="86" t="s">
        <v>219</v>
      </c>
      <c r="P58" s="85" t="s">
        <v>302</v>
      </c>
      <c r="Q58" s="85" t="s">
        <v>303</v>
      </c>
      <c r="R58" s="86" t="s">
        <v>304</v>
      </c>
    </row>
    <row r="59" spans="1:18" s="103" customFormat="1" x14ac:dyDescent="0.25">
      <c r="A59" s="103" t="s">
        <v>94</v>
      </c>
      <c r="B59" s="105" t="s">
        <v>206</v>
      </c>
      <c r="C59" s="106" t="s">
        <v>207</v>
      </c>
      <c r="D59" s="107" t="s">
        <v>208</v>
      </c>
      <c r="E59" s="108" t="s">
        <v>193</v>
      </c>
      <c r="F59" s="108" t="s">
        <v>194</v>
      </c>
      <c r="G59" s="112" t="s">
        <v>195</v>
      </c>
      <c r="H59" s="139"/>
      <c r="I59" s="113" t="s">
        <v>177</v>
      </c>
      <c r="J59" s="113" t="s">
        <v>178</v>
      </c>
      <c r="K59" s="111" t="s">
        <v>179</v>
      </c>
      <c r="L59" s="85"/>
      <c r="M59" s="85" t="s">
        <v>220</v>
      </c>
      <c r="N59" s="85" t="s">
        <v>221</v>
      </c>
      <c r="O59" s="92" t="s">
        <v>222</v>
      </c>
      <c r="P59" s="85" t="s">
        <v>305</v>
      </c>
      <c r="Q59" s="85" t="s">
        <v>306</v>
      </c>
      <c r="R59" s="86" t="s">
        <v>307</v>
      </c>
    </row>
    <row r="60" spans="1:18" s="103" customFormat="1" x14ac:dyDescent="0.25">
      <c r="A60" s="103" t="s">
        <v>99</v>
      </c>
      <c r="B60" s="106" t="s">
        <v>209</v>
      </c>
      <c r="C60" s="106" t="s">
        <v>210</v>
      </c>
      <c r="D60" s="89" t="s">
        <v>211</v>
      </c>
      <c r="E60" s="108" t="s">
        <v>196</v>
      </c>
      <c r="F60" s="108" t="s">
        <v>197</v>
      </c>
      <c r="G60" s="114" t="s">
        <v>137</v>
      </c>
      <c r="H60" s="139"/>
      <c r="I60" s="110" t="s">
        <v>180</v>
      </c>
      <c r="J60" s="110" t="s">
        <v>181</v>
      </c>
      <c r="K60" s="115" t="s">
        <v>182</v>
      </c>
      <c r="L60" s="85"/>
      <c r="M60" s="85" t="s">
        <v>223</v>
      </c>
      <c r="N60" s="85" t="s">
        <v>224</v>
      </c>
      <c r="O60" s="86" t="s">
        <v>225</v>
      </c>
      <c r="P60" s="85" t="s">
        <v>308</v>
      </c>
      <c r="Q60" s="85" t="s">
        <v>309</v>
      </c>
      <c r="R60" s="86" t="s">
        <v>310</v>
      </c>
    </row>
    <row r="61" spans="1:18" s="103" customFormat="1" x14ac:dyDescent="0.25">
      <c r="A61" s="104" t="s">
        <v>100</v>
      </c>
      <c r="B61" s="118" t="s">
        <v>213</v>
      </c>
      <c r="C61" s="106" t="s">
        <v>212</v>
      </c>
      <c r="D61" s="119" t="s">
        <v>214</v>
      </c>
      <c r="E61" s="120" t="s">
        <v>199</v>
      </c>
      <c r="F61" s="108" t="s">
        <v>198</v>
      </c>
      <c r="G61" s="121" t="s">
        <v>200</v>
      </c>
      <c r="H61" s="142"/>
      <c r="I61" s="110" t="s">
        <v>183</v>
      </c>
      <c r="J61" s="110" t="s">
        <v>184</v>
      </c>
      <c r="K61" s="115" t="s">
        <v>185</v>
      </c>
      <c r="L61" s="85"/>
      <c r="M61"/>
      <c r="N61"/>
      <c r="O61"/>
      <c r="P61"/>
      <c r="Q61"/>
      <c r="R61"/>
    </row>
    <row r="62" spans="1:18" x14ac:dyDescent="0.25">
      <c r="M62" s="192" t="s">
        <v>330</v>
      </c>
      <c r="N62" s="192"/>
      <c r="O62" s="192"/>
      <c r="P62" s="193" t="s">
        <v>331</v>
      </c>
      <c r="Q62" s="193"/>
      <c r="R62" s="193"/>
    </row>
    <row r="63" spans="1:18" x14ac:dyDescent="0.25">
      <c r="B63" s="184" t="s">
        <v>101</v>
      </c>
      <c r="C63" s="184"/>
      <c r="D63" s="184"/>
      <c r="E63" s="185" t="s">
        <v>102</v>
      </c>
      <c r="F63" s="185"/>
      <c r="G63" s="185"/>
      <c r="H63" s="130"/>
      <c r="I63" s="190" t="s">
        <v>328</v>
      </c>
      <c r="J63" s="190"/>
      <c r="K63" s="190"/>
      <c r="M63" s="63" t="s">
        <v>95</v>
      </c>
      <c r="N63" s="63" t="s">
        <v>96</v>
      </c>
      <c r="O63" s="64" t="s">
        <v>97</v>
      </c>
      <c r="P63" s="63" t="s">
        <v>95</v>
      </c>
      <c r="Q63" s="63" t="s">
        <v>96</v>
      </c>
      <c r="R63" s="64" t="s">
        <v>97</v>
      </c>
    </row>
    <row r="64" spans="1:18" x14ac:dyDescent="0.25">
      <c r="B64" s="8" t="s">
        <v>95</v>
      </c>
      <c r="C64" s="8" t="s">
        <v>96</v>
      </c>
      <c r="D64" s="4" t="s">
        <v>97</v>
      </c>
      <c r="E64" s="8" t="s">
        <v>95</v>
      </c>
      <c r="F64" s="8" t="s">
        <v>96</v>
      </c>
      <c r="G64" s="3" t="s">
        <v>97</v>
      </c>
      <c r="H64" s="3"/>
      <c r="I64" s="8" t="s">
        <v>95</v>
      </c>
      <c r="J64" s="8" t="s">
        <v>96</v>
      </c>
      <c r="K64" s="3" t="s">
        <v>97</v>
      </c>
      <c r="M64" s="65">
        <v>83.94</v>
      </c>
      <c r="N64" s="76">
        <v>89.5</v>
      </c>
      <c r="O64" s="67">
        <v>86.63</v>
      </c>
      <c r="P64" s="76">
        <v>65.8</v>
      </c>
      <c r="Q64" s="65">
        <v>85.23</v>
      </c>
      <c r="R64" s="66">
        <v>74.27</v>
      </c>
    </row>
    <row r="65" spans="1:18" x14ac:dyDescent="0.25">
      <c r="A65" t="s">
        <v>98</v>
      </c>
      <c r="B65" s="55">
        <v>86.47</v>
      </c>
      <c r="C65" s="56">
        <v>81.22</v>
      </c>
      <c r="D65" s="143">
        <v>83.76</v>
      </c>
      <c r="E65" s="61">
        <v>73.239999999999995</v>
      </c>
      <c r="F65" s="61">
        <v>83.56</v>
      </c>
      <c r="G65" s="73">
        <v>78.06</v>
      </c>
      <c r="H65" s="73">
        <v>78.056426000000002</v>
      </c>
      <c r="M65" s="65">
        <v>93.09</v>
      </c>
      <c r="N65" s="65">
        <v>93.55</v>
      </c>
      <c r="O65" s="67">
        <v>93.32</v>
      </c>
      <c r="P65" s="65">
        <v>71.849999999999994</v>
      </c>
      <c r="Q65" s="65">
        <v>76.38</v>
      </c>
      <c r="R65" s="66">
        <v>74.05</v>
      </c>
    </row>
    <row r="66" spans="1:18" x14ac:dyDescent="0.25">
      <c r="A66" t="s">
        <v>94</v>
      </c>
      <c r="B66" s="55">
        <v>76.02</v>
      </c>
      <c r="C66" s="56">
        <v>88.09</v>
      </c>
      <c r="D66" s="144">
        <v>81.61</v>
      </c>
      <c r="E66" s="122">
        <v>65.099999999999994</v>
      </c>
      <c r="F66" s="61">
        <v>79.790000000000006</v>
      </c>
      <c r="G66" s="73">
        <v>71.7</v>
      </c>
      <c r="H66" s="73">
        <v>71.698113000000006</v>
      </c>
      <c r="M66" s="65">
        <v>88.32</v>
      </c>
      <c r="N66" s="65">
        <v>89.29</v>
      </c>
      <c r="O66" s="77">
        <v>88.8</v>
      </c>
      <c r="P66" s="65">
        <v>55.26</v>
      </c>
      <c r="Q66" s="65">
        <v>52.74</v>
      </c>
      <c r="R66" s="66">
        <v>53.97</v>
      </c>
    </row>
    <row r="67" spans="1:18" x14ac:dyDescent="0.25">
      <c r="A67" t="s">
        <v>99</v>
      </c>
      <c r="B67" s="58">
        <v>50.9</v>
      </c>
      <c r="C67">
        <v>59.66</v>
      </c>
      <c r="D67" s="62">
        <v>54.93</v>
      </c>
      <c r="E67" s="58">
        <v>49.4</v>
      </c>
      <c r="F67">
        <v>55.33</v>
      </c>
      <c r="G67" s="59">
        <v>52.2</v>
      </c>
      <c r="H67" s="59">
        <v>52.201256999999998</v>
      </c>
      <c r="M67" s="65">
        <v>81.16</v>
      </c>
      <c r="N67" s="65">
        <v>85.03</v>
      </c>
      <c r="O67" s="67">
        <v>83.05</v>
      </c>
      <c r="P67" s="65">
        <v>41.13</v>
      </c>
      <c r="Q67" s="76">
        <v>40</v>
      </c>
      <c r="R67" s="66">
        <v>40.56</v>
      </c>
    </row>
    <row r="68" spans="1:18" x14ac:dyDescent="0.25">
      <c r="A68" s="2" t="s">
        <v>100</v>
      </c>
      <c r="B68" s="55">
        <v>37.74</v>
      </c>
      <c r="C68" s="56">
        <v>53.86</v>
      </c>
      <c r="D68" s="144">
        <v>44.38</v>
      </c>
      <c r="E68" s="61">
        <v>33.270000000000003</v>
      </c>
      <c r="F68" s="61">
        <v>44.07</v>
      </c>
      <c r="G68" s="73">
        <v>37.909999999999997</v>
      </c>
      <c r="H68" s="141">
        <v>38.044308600000001</v>
      </c>
    </row>
    <row r="69" spans="1:18" x14ac:dyDescent="0.25">
      <c r="D69" s="132" t="s">
        <v>338</v>
      </c>
      <c r="H69" s="132" t="s">
        <v>337</v>
      </c>
    </row>
    <row r="70" spans="1:18" x14ac:dyDescent="0.25">
      <c r="D70" s="132"/>
      <c r="H70" s="132"/>
    </row>
    <row r="71" spans="1:18" ht="15.75" thickBot="1" x14ac:dyDescent="0.3">
      <c r="D71" s="132"/>
      <c r="H71" s="132"/>
    </row>
    <row r="72" spans="1:18" x14ac:dyDescent="0.25">
      <c r="A72" s="145" t="s">
        <v>335</v>
      </c>
      <c r="B72" s="146"/>
      <c r="C72" s="146"/>
      <c r="D72" s="146"/>
      <c r="E72" s="146"/>
      <c r="F72" s="146"/>
      <c r="G72" s="146"/>
      <c r="H72" s="171"/>
      <c r="I72" s="146"/>
      <c r="J72" s="146"/>
      <c r="K72" s="147"/>
      <c r="L72" s="51"/>
      <c r="M72" s="186"/>
      <c r="N72" s="186"/>
      <c r="O72" s="186"/>
      <c r="P72" s="187"/>
      <c r="Q72" s="187"/>
      <c r="R72" s="187"/>
    </row>
    <row r="73" spans="1:18" x14ac:dyDescent="0.25">
      <c r="A73" s="148"/>
      <c r="B73" s="184" t="s">
        <v>342</v>
      </c>
      <c r="C73" s="184"/>
      <c r="D73" s="184"/>
      <c r="E73" s="185" t="s">
        <v>343</v>
      </c>
      <c r="F73" s="185"/>
      <c r="G73" s="185"/>
      <c r="H73" s="3"/>
      <c r="I73" s="190" t="s">
        <v>344</v>
      </c>
      <c r="J73" s="190"/>
      <c r="K73" s="191"/>
    </row>
    <row r="74" spans="1:18" x14ac:dyDescent="0.25">
      <c r="A74" s="148"/>
      <c r="B74" s="8" t="s">
        <v>96</v>
      </c>
      <c r="C74" s="8" t="s">
        <v>95</v>
      </c>
      <c r="D74" s="4" t="s">
        <v>97</v>
      </c>
      <c r="E74" s="8" t="s">
        <v>96</v>
      </c>
      <c r="F74" s="8" t="s">
        <v>95</v>
      </c>
      <c r="G74" s="3" t="s">
        <v>97</v>
      </c>
      <c r="H74" s="3"/>
      <c r="I74" s="8" t="s">
        <v>96</v>
      </c>
      <c r="J74" s="8" t="s">
        <v>95</v>
      </c>
      <c r="K74" s="149" t="s">
        <v>97</v>
      </c>
    </row>
    <row r="75" spans="1:18" x14ac:dyDescent="0.25">
      <c r="A75" s="150" t="s">
        <v>98</v>
      </c>
      <c r="B75" s="51">
        <v>83.81</v>
      </c>
      <c r="C75" s="151">
        <v>88.8</v>
      </c>
      <c r="D75" s="152">
        <v>86.23</v>
      </c>
      <c r="E75" s="151">
        <v>84.225092250922501</v>
      </c>
      <c r="F75" s="151">
        <v>69.588414634146304</v>
      </c>
      <c r="G75" s="172">
        <v>76.210350584306994</v>
      </c>
      <c r="H75" s="3"/>
      <c r="I75" s="151">
        <v>80.373185901865</v>
      </c>
      <c r="J75" s="151">
        <v>88.643292682899997</v>
      </c>
      <c r="K75" s="173">
        <v>84.305907937658006</v>
      </c>
    </row>
    <row r="76" spans="1:18" x14ac:dyDescent="0.25">
      <c r="A76" s="150" t="s">
        <v>94</v>
      </c>
      <c r="B76" s="51">
        <v>87.77</v>
      </c>
      <c r="C76" s="51">
        <v>76.12</v>
      </c>
      <c r="D76" s="152">
        <v>81.53</v>
      </c>
      <c r="E76" s="151">
        <v>67.921146953399997</v>
      </c>
      <c r="F76" s="151">
        <v>63.131593559133002</v>
      </c>
      <c r="G76" s="172">
        <v>65.438848920799998</v>
      </c>
      <c r="H76" s="3"/>
      <c r="I76" s="151">
        <v>85.992462311557006</v>
      </c>
      <c r="J76" s="151">
        <v>76.013325930037993</v>
      </c>
      <c r="K76" s="173">
        <v>80.695549661066906</v>
      </c>
    </row>
    <row r="77" spans="1:18" x14ac:dyDescent="0.25">
      <c r="A77" s="150" t="s">
        <v>99</v>
      </c>
      <c r="B77" s="51">
        <v>65.67</v>
      </c>
      <c r="C77" s="51">
        <v>56.12</v>
      </c>
      <c r="D77" s="152">
        <v>60.52</v>
      </c>
      <c r="E77" s="151">
        <v>56.160135325627003</v>
      </c>
      <c r="F77" s="151">
        <v>51.459571170239997</v>
      </c>
      <c r="G77" s="172">
        <v>53.707198705849997</v>
      </c>
      <c r="H77" s="3"/>
      <c r="I77" s="151">
        <v>67.301587301587006</v>
      </c>
      <c r="J77" s="151">
        <v>57.752553916003997</v>
      </c>
      <c r="K77" s="173">
        <v>62.162492364080002</v>
      </c>
    </row>
    <row r="78" spans="1:18" x14ac:dyDescent="0.25">
      <c r="A78" s="153" t="s">
        <v>100</v>
      </c>
      <c r="B78" s="151">
        <v>60</v>
      </c>
      <c r="C78" s="51">
        <v>40.83</v>
      </c>
      <c r="D78" s="154">
        <v>48.59</v>
      </c>
      <c r="E78" s="151">
        <v>38.351944551404998</v>
      </c>
      <c r="F78" s="151">
        <v>33.17235636969</v>
      </c>
      <c r="G78" s="177">
        <v>35.574604875429998</v>
      </c>
      <c r="H78" s="3"/>
      <c r="I78" s="151">
        <v>60.796359499399998</v>
      </c>
      <c r="J78" s="151">
        <v>44.496253122390002</v>
      </c>
      <c r="K78" s="174">
        <v>51.384615384600004</v>
      </c>
    </row>
    <row r="79" spans="1:18" x14ac:dyDescent="0.25">
      <c r="A79" s="148"/>
      <c r="B79" s="155"/>
      <c r="C79" s="58"/>
      <c r="H79" s="3"/>
      <c r="K79" s="156"/>
    </row>
    <row r="80" spans="1:18" s="103" customFormat="1" x14ac:dyDescent="0.25">
      <c r="A80" s="159" t="s">
        <v>336</v>
      </c>
      <c r="B80" s="188" t="s">
        <v>341</v>
      </c>
      <c r="C80" s="188"/>
      <c r="D80" s="188"/>
      <c r="E80" s="189" t="s">
        <v>340</v>
      </c>
      <c r="F80" s="189"/>
      <c r="G80" s="189"/>
      <c r="H80" s="3"/>
      <c r="K80" s="163"/>
    </row>
    <row r="81" spans="1:11" s="103" customFormat="1" x14ac:dyDescent="0.25">
      <c r="A81" s="160"/>
      <c r="B81" s="161" t="s">
        <v>96</v>
      </c>
      <c r="C81" s="161" t="s">
        <v>95</v>
      </c>
      <c r="D81" s="136" t="s">
        <v>97</v>
      </c>
      <c r="E81" s="161" t="s">
        <v>96</v>
      </c>
      <c r="F81" s="161" t="s">
        <v>95</v>
      </c>
      <c r="G81" s="136" t="s">
        <v>97</v>
      </c>
      <c r="H81" s="3"/>
      <c r="K81" s="168"/>
    </row>
    <row r="82" spans="1:11" s="103" customFormat="1" x14ac:dyDescent="0.25">
      <c r="A82" s="160" t="s">
        <v>98</v>
      </c>
      <c r="B82" s="162">
        <v>70.989761091999995</v>
      </c>
      <c r="C82" s="162">
        <v>31.707317</v>
      </c>
      <c r="D82" s="162">
        <v>43.835616399999999</v>
      </c>
      <c r="E82" s="162">
        <v>60.313630000000003</v>
      </c>
      <c r="F82" s="162">
        <v>38.109756089999998</v>
      </c>
      <c r="G82" s="162">
        <v>46.707146000000002</v>
      </c>
      <c r="H82" s="3"/>
      <c r="K82" s="168"/>
    </row>
    <row r="83" spans="1:11" s="103" customFormat="1" x14ac:dyDescent="0.25">
      <c r="A83" s="160" t="s">
        <v>94</v>
      </c>
      <c r="B83" s="162">
        <v>43.725992317541603</v>
      </c>
      <c r="C83" s="162">
        <v>37.923375900000003</v>
      </c>
      <c r="D83" s="162">
        <v>40.61849539</v>
      </c>
      <c r="E83" s="162">
        <v>53.22580645</v>
      </c>
      <c r="F83" s="162">
        <v>49.472515269200002</v>
      </c>
      <c r="G83" s="162">
        <v>51.280575499999998</v>
      </c>
      <c r="H83" s="3"/>
      <c r="K83" s="163"/>
    </row>
    <row r="84" spans="1:11" s="103" customFormat="1" x14ac:dyDescent="0.25">
      <c r="A84" s="160" t="s">
        <v>99</v>
      </c>
      <c r="B84" s="162">
        <v>60.326472675656497</v>
      </c>
      <c r="C84" s="162">
        <v>52.275522755200001</v>
      </c>
      <c r="D84" s="162">
        <v>56.013179571599998</v>
      </c>
      <c r="E84" s="162">
        <v>52.59124087</v>
      </c>
      <c r="F84" s="162">
        <v>48.355704690000003</v>
      </c>
      <c r="G84" s="162">
        <v>50.38461538</v>
      </c>
      <c r="H84" s="3"/>
      <c r="K84" s="163"/>
    </row>
    <row r="85" spans="1:11" s="103" customFormat="1" ht="15.75" thickBot="1" x14ac:dyDescent="0.3">
      <c r="A85" s="164" t="s">
        <v>100</v>
      </c>
      <c r="B85" s="165">
        <v>20.797651088818</v>
      </c>
      <c r="C85" s="165">
        <v>14.15487094</v>
      </c>
      <c r="D85" s="166">
        <v>16.850000000000001</v>
      </c>
      <c r="E85" s="165">
        <v>27.743549999999999</v>
      </c>
      <c r="F85" s="165">
        <v>23.996659999999999</v>
      </c>
      <c r="G85" s="167">
        <v>25.73</v>
      </c>
      <c r="H85" s="169"/>
      <c r="I85" s="169"/>
      <c r="J85" s="169"/>
      <c r="K85" s="170"/>
    </row>
    <row r="86" spans="1:11" x14ac:dyDescent="0.25">
      <c r="D86" s="135" t="s">
        <v>339</v>
      </c>
      <c r="G86" s="135" t="s">
        <v>339</v>
      </c>
    </row>
  </sheetData>
  <mergeCells count="47">
    <mergeCell ref="B22:D22"/>
    <mergeCell ref="E22:G22"/>
    <mergeCell ref="I22:K22"/>
    <mergeCell ref="B29:D29"/>
    <mergeCell ref="E29:G29"/>
    <mergeCell ref="I29:K29"/>
    <mergeCell ref="B2:D2"/>
    <mergeCell ref="E2:G2"/>
    <mergeCell ref="I2:K2"/>
    <mergeCell ref="B9:D9"/>
    <mergeCell ref="E9:G9"/>
    <mergeCell ref="I9:K9"/>
    <mergeCell ref="B39:D39"/>
    <mergeCell ref="E39:G39"/>
    <mergeCell ref="I39:K39"/>
    <mergeCell ref="B46:D46"/>
    <mergeCell ref="E46:G46"/>
    <mergeCell ref="I46:K46"/>
    <mergeCell ref="B56:D56"/>
    <mergeCell ref="E56:G56"/>
    <mergeCell ref="I56:K56"/>
    <mergeCell ref="B63:D63"/>
    <mergeCell ref="E63:G63"/>
    <mergeCell ref="I63:K63"/>
    <mergeCell ref="M62:O62"/>
    <mergeCell ref="P62:R62"/>
    <mergeCell ref="P38:R38"/>
    <mergeCell ref="P55:R55"/>
    <mergeCell ref="P2:R2"/>
    <mergeCell ref="P9:R9"/>
    <mergeCell ref="P22:R22"/>
    <mergeCell ref="P45:R45"/>
    <mergeCell ref="M2:O2"/>
    <mergeCell ref="M9:O9"/>
    <mergeCell ref="M22:O22"/>
    <mergeCell ref="M38:O38"/>
    <mergeCell ref="M55:O55"/>
    <mergeCell ref="M45:O45"/>
    <mergeCell ref="M29:O29"/>
    <mergeCell ref="P29:R29"/>
    <mergeCell ref="B73:D73"/>
    <mergeCell ref="E73:G73"/>
    <mergeCell ref="M72:O72"/>
    <mergeCell ref="P72:R72"/>
    <mergeCell ref="B80:D80"/>
    <mergeCell ref="E80:G80"/>
    <mergeCell ref="I73:K7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2.1-May-2025</vt:lpstr>
      <vt:lpstr>2.2-Feb-2026</vt:lpstr>
      <vt:lpstr>2.2-sema-orange-conv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Markéta Lopatková</cp:lastModifiedBy>
  <dcterms:created xsi:type="dcterms:W3CDTF">2025-04-14T12:51:40Z</dcterms:created>
  <dcterms:modified xsi:type="dcterms:W3CDTF">2026-09-23T09:31:39Z</dcterms:modified>
</cp:coreProperties>
</file>